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_v2/workabili-bot3000/input/"/>
    </mc:Choice>
  </mc:AlternateContent>
  <xr:revisionPtr revIDLastSave="2" documentId="8_{772BB421-E5CA-41A1-B154-79D04D5066CC}" xr6:coauthVersionLast="47" xr6:coauthVersionMax="47" xr10:uidLastSave="{7A0E5CE3-19A4-4BF1-B528-377D06EACAB2}"/>
  <bookViews>
    <workbookView xWindow="-37780" yWindow="1770" windowWidth="35510" windowHeight="19230" xr2:uid="{2B93612B-DF66-4417-B085-97421CDC77C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<sst xmlns="http://schemas.openxmlformats.org/spreadsheetml/2006/main" count="12" uniqueCount="12">
  <si>
    <t>First Name</t>
  </si>
  <si>
    <t>Last Name</t>
  </si>
  <si>
    <t>State Student ID</t>
  </si>
  <si>
    <t>Birthdate</t>
  </si>
  <si>
    <t>Gender</t>
  </si>
  <si>
    <t>Grade</t>
  </si>
  <si>
    <t>Description_CSE_DI</t>
  </si>
  <si>
    <t>EthCd</t>
  </si>
  <si>
    <t>Description_STU_RC1</t>
  </si>
  <si>
    <t>School name</t>
  </si>
  <si>
    <t>Briana</t>
  </si>
  <si>
    <t>San Pedro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</si>
</sst>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-2026%20416%20Served%20Queries/25-26%20High%20School%20SpEd%20enrollment%20in%20Teach%20Town.xlsx" TargetMode="External"/><Relationship Id="rId2" Type="http://schemas.openxmlformats.org/officeDocument/2006/relationships/externalLinkPath" Target="https://sbcssk12caus-my.sharepoint.com/personal/derek_carlson_sbcss_net/Documents/Etc/Workability/2025-2026%20416%20Served%20Queries/25-26%20High%20School%20SpEd%20enrollment%20in%20Teach%20Town.xlsx" TargetMode="External"/><Relationship Id="rId1" Type="http://schemas.openxmlformats.org/officeDocument/2006/relationships/externalLinkPath" Target="/personal/derek_carlson_sbcss_net/Documents/Etc/Workability/2025-2026%20416%20Served%20Queries/25-26%20High%20School%20SpEd%20enrollment%20in%20Teach%20Tow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Adds for Workabilibot Run 1"/>
      <sheetName val="Site Check Here vs WAI"/>
      <sheetName val="RAW Aeries Data"/>
      <sheetName val="WAI BaselineRecords 4-7-26"/>
      <sheetName val="Teach Town Students"/>
      <sheetName val="99 CS SPED Active on 4-7"/>
      <sheetName val="Teach Town and CS SPED"/>
      <sheetName val="Sites in WAI 2025-26"/>
      <sheetName val="SPED Query"/>
      <sheetName val="AERIES DATA"/>
    </sheetNames>
    <sheetDataSet>
      <sheetData sheetId="0"/>
      <sheetData sheetId="1"/>
      <sheetData sheetId="2"/>
      <sheetData sheetId="3">
        <row r="1">
          <cell r="D1" t="str">
            <v>State Student ID</v>
          </cell>
          <cell r="E1" t="str">
            <v>Birthdate</v>
          </cell>
          <cell r="F1" t="str">
            <v>Gender</v>
          </cell>
          <cell r="G1" t="str">
            <v>Grade</v>
          </cell>
          <cell r="H1" t="str">
            <v>Description_CSE_DI</v>
          </cell>
          <cell r="I1" t="str">
            <v>EthCd</v>
          </cell>
          <cell r="J1" t="str">
            <v>Description_STU_RC1</v>
          </cell>
          <cell r="K1" t="str">
            <v>School name</v>
          </cell>
          <cell r="L1" t="str">
            <v>SPECIALED Value</v>
          </cell>
          <cell r="M1"/>
        </row>
        <row r="2">
          <cell r="D2">
            <v>1122937277</v>
          </cell>
          <cell r="E2" t="str">
            <v>07/31/2011</v>
          </cell>
          <cell r="F2" t="str">
            <v>M</v>
          </cell>
          <cell r="G2">
            <v>9</v>
          </cell>
          <cell r="H2" t="str">
            <v>Autism (AUT)</v>
          </cell>
          <cell r="I2" t="str">
            <v>N</v>
          </cell>
          <cell r="J2" t="str">
            <v>White</v>
          </cell>
          <cell r="K2" t="str">
            <v>SE - DM - COBALT IMS</v>
          </cell>
          <cell r="L2" t="str">
            <v>Yes</v>
          </cell>
          <cell r="M2"/>
        </row>
        <row r="3">
          <cell r="D3">
            <v>4040114714</v>
          </cell>
          <cell r="E3" t="str">
            <v>04/04/2009</v>
          </cell>
          <cell r="F3" t="str">
            <v>M</v>
          </cell>
          <cell r="G3">
            <v>11</v>
          </cell>
          <cell r="H3" t="str">
            <v>Other Health Impairment (OHI)</v>
          </cell>
          <cell r="I3" t="str">
            <v>Y</v>
          </cell>
          <cell r="J3" t="str">
            <v>Black or African American</v>
          </cell>
          <cell r="K3" t="str">
            <v>SE - EV - BARBARA PHELPS SP ED</v>
          </cell>
          <cell r="L3" t="str">
            <v>Yes</v>
          </cell>
          <cell r="M3"/>
        </row>
        <row r="4">
          <cell r="D4">
            <v>5366909665</v>
          </cell>
          <cell r="E4" t="str">
            <v>07/30/2010</v>
          </cell>
          <cell r="F4" t="str">
            <v>M</v>
          </cell>
          <cell r="G4">
            <v>9</v>
          </cell>
          <cell r="H4" t="str">
            <v>Specific Learning Disability (SLD)</v>
          </cell>
          <cell r="I4" t="str">
            <v>Y</v>
          </cell>
          <cell r="J4" t="str">
            <v>Declined to state/Unknown</v>
          </cell>
          <cell r="K4" t="str">
            <v>CS - BARBARA PHELPS CS</v>
          </cell>
          <cell r="L4" t="str">
            <v>Yes</v>
          </cell>
          <cell r="M4"/>
        </row>
        <row r="5">
          <cell r="D5">
            <v>7503324524</v>
          </cell>
          <cell r="E5" t="str">
            <v>06/09/2011</v>
          </cell>
          <cell r="F5" t="str">
            <v>M</v>
          </cell>
          <cell r="G5">
            <v>9</v>
          </cell>
          <cell r="H5" t="str">
            <v>Autism (AUT)</v>
          </cell>
          <cell r="I5" t="str">
            <v>N</v>
          </cell>
          <cell r="J5" t="str">
            <v>Filipino</v>
          </cell>
          <cell r="K5" t="str">
            <v>SE - DM - COBALT IMS</v>
          </cell>
          <cell r="L5" t="str">
            <v>Yes</v>
          </cell>
          <cell r="M5"/>
        </row>
        <row r="6">
          <cell r="D6">
            <v>2968054907</v>
          </cell>
          <cell r="E6" t="str">
            <v>02/04/2024</v>
          </cell>
          <cell r="F6" t="str">
            <v>F</v>
          </cell>
          <cell r="G6">
            <v>16</v>
          </cell>
          <cell r="H6" t="str">
            <v>Orthopedic Impairment (OI)</v>
          </cell>
          <cell r="I6" t="str">
            <v>Y</v>
          </cell>
          <cell r="J6" t="str">
            <v>White</v>
          </cell>
          <cell r="K6" t="str">
            <v>SE - EV - EARLY START</v>
          </cell>
          <cell r="L6" t="str">
            <v>Yes</v>
          </cell>
          <cell r="M6"/>
        </row>
        <row r="7">
          <cell r="D7">
            <v>5580498060</v>
          </cell>
          <cell r="E7" t="str">
            <v>06/27/2024</v>
          </cell>
          <cell r="F7" t="str">
            <v>F</v>
          </cell>
          <cell r="G7">
            <v>16</v>
          </cell>
          <cell r="H7" t="str">
            <v>Multiple Disability (MD)</v>
          </cell>
          <cell r="I7" t="str">
            <v>Y</v>
          </cell>
          <cell r="J7" t="str">
            <v>White</v>
          </cell>
          <cell r="K7" t="str">
            <v>SE - EV - EARLY START</v>
          </cell>
          <cell r="L7" t="str">
            <v>Yes</v>
          </cell>
          <cell r="M7"/>
        </row>
        <row r="8">
          <cell r="D8">
            <v>3420123772</v>
          </cell>
          <cell r="E8" t="str">
            <v>04/16/2005</v>
          </cell>
          <cell r="F8" t="str">
            <v>F</v>
          </cell>
          <cell r="G8">
            <v>12</v>
          </cell>
          <cell r="H8" t="str">
            <v>Multiple Disability (MD)</v>
          </cell>
          <cell r="I8" t="str">
            <v>Y</v>
          </cell>
          <cell r="J8" t="str">
            <v>White</v>
          </cell>
          <cell r="K8" t="str">
            <v>SE - DM - COBALT IMS</v>
          </cell>
          <cell r="L8" t="str">
            <v>Yes</v>
          </cell>
          <cell r="M8"/>
        </row>
        <row r="9">
          <cell r="D9">
            <v>9189494381</v>
          </cell>
          <cell r="E9" t="str">
            <v>02/15/2006</v>
          </cell>
          <cell r="F9" t="str">
            <v>M</v>
          </cell>
          <cell r="G9">
            <v>12</v>
          </cell>
          <cell r="H9" t="str">
            <v>Autism (AUT)</v>
          </cell>
          <cell r="I9" t="str">
            <v>Y</v>
          </cell>
          <cell r="J9" t="str">
            <v>American Indian or Alaskan Native</v>
          </cell>
          <cell r="K9" t="str">
            <v>SE - DM - COBALT IMS</v>
          </cell>
          <cell r="L9" t="str">
            <v>Yes</v>
          </cell>
          <cell r="M9"/>
        </row>
        <row r="10">
          <cell r="D10">
            <v>1327292842</v>
          </cell>
          <cell r="E10" t="str">
            <v>10/20/2007</v>
          </cell>
          <cell r="F10" t="str">
            <v>F</v>
          </cell>
          <cell r="G10">
            <v>12</v>
          </cell>
          <cell r="H10" t="str">
            <v>Multiple Disability (MD)</v>
          </cell>
          <cell r="I10" t="str">
            <v>N</v>
          </cell>
          <cell r="J10" t="str">
            <v>Black or African American</v>
          </cell>
          <cell r="K10" t="str">
            <v>SE - EV - RIALTO HS 2</v>
          </cell>
          <cell r="L10" t="str">
            <v>Yes</v>
          </cell>
          <cell r="M10"/>
        </row>
        <row r="11">
          <cell r="D11">
            <v>3186318227</v>
          </cell>
          <cell r="E11" t="str">
            <v>03/30/2005</v>
          </cell>
          <cell r="F11" t="str">
            <v>F</v>
          </cell>
          <cell r="G11">
            <v>12</v>
          </cell>
          <cell r="H11" t="str">
            <v>Intellectual Disability (ID)</v>
          </cell>
          <cell r="I11" t="str">
            <v>Y</v>
          </cell>
          <cell r="J11" t="str">
            <v>White</v>
          </cell>
          <cell r="K11" t="str">
            <v>SE - DM - BARSTOW JH</v>
          </cell>
          <cell r="L11" t="str">
            <v>Yes</v>
          </cell>
          <cell r="M11"/>
        </row>
        <row r="12">
          <cell r="D12">
            <v>3163629104</v>
          </cell>
          <cell r="E12" t="str">
            <v>09/17/2024</v>
          </cell>
          <cell r="F12" t="str">
            <v>F</v>
          </cell>
          <cell r="G12">
            <v>16</v>
          </cell>
          <cell r="H12" t="str">
            <v>Hard of Hearing (HH)</v>
          </cell>
          <cell r="I12" t="str">
            <v>Y</v>
          </cell>
          <cell r="J12" t="str">
            <v>Declined to state/Unknown</v>
          </cell>
          <cell r="K12" t="str">
            <v>SE - WE - EARLY START</v>
          </cell>
          <cell r="L12" t="str">
            <v>Yes</v>
          </cell>
          <cell r="M12"/>
        </row>
        <row r="13">
          <cell r="D13">
            <v>2494933997</v>
          </cell>
          <cell r="E13" t="str">
            <v>12/08/2009</v>
          </cell>
          <cell r="F13" t="str">
            <v>M</v>
          </cell>
          <cell r="G13">
            <v>10</v>
          </cell>
          <cell r="H13" t="str">
            <v>Multiple Disability (MD)</v>
          </cell>
          <cell r="I13" t="str">
            <v>N</v>
          </cell>
          <cell r="J13" t="str">
            <v>Declined to state/Unknown</v>
          </cell>
          <cell r="K13" t="str">
            <v>SE - DM - SULTANA</v>
          </cell>
          <cell r="L13" t="str">
            <v>Yes</v>
          </cell>
          <cell r="M13"/>
        </row>
        <row r="14">
          <cell r="D14">
            <v>3478198476</v>
          </cell>
          <cell r="E14" t="str">
            <v>09/21/2007</v>
          </cell>
          <cell r="F14" t="str">
            <v>M</v>
          </cell>
          <cell r="G14">
            <v>12</v>
          </cell>
          <cell r="H14" t="str">
            <v>Other Health Impairment (OHI)</v>
          </cell>
          <cell r="I14" t="str">
            <v>Y</v>
          </cell>
          <cell r="J14" t="str">
            <v>White</v>
          </cell>
          <cell r="K14" t="str">
            <v>SE - WE - GIBSON HS</v>
          </cell>
          <cell r="L14" t="str">
            <v>Yes</v>
          </cell>
          <cell r="M14"/>
        </row>
        <row r="15">
          <cell r="D15">
            <v>2157589012</v>
          </cell>
          <cell r="E15" t="str">
            <v>01/21/2009</v>
          </cell>
          <cell r="F15" t="str">
            <v>M</v>
          </cell>
          <cell r="G15">
            <v>11</v>
          </cell>
          <cell r="H15" t="str">
            <v>Intellectual Disability (ID)</v>
          </cell>
          <cell r="I15" t="str">
            <v>Y</v>
          </cell>
          <cell r="J15" t="str">
            <v>Declined to state/Unknown</v>
          </cell>
          <cell r="K15" t="str">
            <v>SE - WE - CHINO HS</v>
          </cell>
          <cell r="L15" t="str">
            <v>Yes</v>
          </cell>
          <cell r="M15"/>
        </row>
        <row r="16">
          <cell r="D16">
            <v>1146857567</v>
          </cell>
          <cell r="E16" t="str">
            <v>01/21/2010</v>
          </cell>
          <cell r="F16" t="str">
            <v>M</v>
          </cell>
          <cell r="G16">
            <v>9</v>
          </cell>
          <cell r="H16" t="str">
            <v>Specific Learning Disability (SLD)</v>
          </cell>
          <cell r="I16" t="str">
            <v>Y</v>
          </cell>
          <cell r="J16" t="str">
            <v>Declined to state/Unknown</v>
          </cell>
          <cell r="K16" t="str">
            <v>CS - BOB MURPHY CS</v>
          </cell>
          <cell r="L16" t="str">
            <v>Yes</v>
          </cell>
          <cell r="M16"/>
        </row>
        <row r="17">
          <cell r="D17">
            <v>8413258274</v>
          </cell>
          <cell r="E17" t="str">
            <v>05/28/2009</v>
          </cell>
          <cell r="F17" t="str">
            <v>M</v>
          </cell>
          <cell r="G17">
            <v>10</v>
          </cell>
          <cell r="H17" t="str">
            <v>Other Health Impairment (OHI)</v>
          </cell>
          <cell r="I17" t="str">
            <v>Y</v>
          </cell>
          <cell r="J17" t="str">
            <v>White</v>
          </cell>
          <cell r="K17" t="str">
            <v>JCS - EAST VALLEY JUV COURT SCHOOL</v>
          </cell>
          <cell r="L17" t="str">
            <v>Yes</v>
          </cell>
          <cell r="M17"/>
        </row>
        <row r="18">
          <cell r="D18">
            <v>6092498351</v>
          </cell>
          <cell r="E18" t="str">
            <v>07/23/2006</v>
          </cell>
          <cell r="F18" t="str">
            <v>M</v>
          </cell>
          <cell r="G18">
            <v>12</v>
          </cell>
          <cell r="H18" t="str">
            <v>Autism (AUT)</v>
          </cell>
          <cell r="I18" t="str">
            <v>N</v>
          </cell>
          <cell r="J18" t="str">
            <v>Declined to state/Unknown</v>
          </cell>
          <cell r="K18" t="str">
            <v>SE - WE - ALTA LOMA HS</v>
          </cell>
          <cell r="L18" t="str">
            <v>Yes</v>
          </cell>
          <cell r="M18"/>
        </row>
        <row r="19">
          <cell r="D19">
            <v>2688570257</v>
          </cell>
          <cell r="E19" t="str">
            <v>01/29/2007</v>
          </cell>
          <cell r="F19" t="str">
            <v>F</v>
          </cell>
          <cell r="G19">
            <v>12</v>
          </cell>
          <cell r="H19" t="str">
            <v>Multiple Disability (MD)</v>
          </cell>
          <cell r="I19" t="str">
            <v>Y</v>
          </cell>
          <cell r="J19" t="str">
            <v>Black or African American</v>
          </cell>
          <cell r="K19" t="str">
            <v>SE - WE - CHINO HS</v>
          </cell>
          <cell r="L19" t="str">
            <v>Yes</v>
          </cell>
          <cell r="M19"/>
        </row>
        <row r="20">
          <cell r="D20">
            <v>1059867595</v>
          </cell>
          <cell r="E20" t="str">
            <v>09/05/2010</v>
          </cell>
          <cell r="F20" t="str">
            <v>F</v>
          </cell>
          <cell r="G20">
            <v>9</v>
          </cell>
          <cell r="H20" t="str">
            <v>Multiple Disability (MD)</v>
          </cell>
          <cell r="I20" t="str">
            <v>Y</v>
          </cell>
          <cell r="J20" t="str">
            <v>White</v>
          </cell>
          <cell r="K20" t="str">
            <v>SE - DM - OAK HILLS HS</v>
          </cell>
          <cell r="L20" t="str">
            <v>Yes</v>
          </cell>
          <cell r="M20"/>
        </row>
        <row r="21">
          <cell r="D21">
            <v>5100267971</v>
          </cell>
          <cell r="E21" t="str">
            <v>10/10/2009</v>
          </cell>
          <cell r="F21" t="str">
            <v>M</v>
          </cell>
          <cell r="G21">
            <v>10</v>
          </cell>
          <cell r="H21" t="str">
            <v>Other Health Impairment (OHI)</v>
          </cell>
          <cell r="I21" t="str">
            <v>Y</v>
          </cell>
          <cell r="J21" t="str">
            <v>American Indian or Alaskan Native</v>
          </cell>
          <cell r="K21" t="str">
            <v>CS - BARBARA PHELPS CS</v>
          </cell>
          <cell r="L21" t="str">
            <v>Yes</v>
          </cell>
          <cell r="M21"/>
        </row>
        <row r="22">
          <cell r="D22">
            <v>2924498823</v>
          </cell>
          <cell r="E22" t="str">
            <v>01/08/2007</v>
          </cell>
          <cell r="F22" t="str">
            <v>M</v>
          </cell>
          <cell r="G22">
            <v>12</v>
          </cell>
          <cell r="H22" t="str">
            <v>Intellectual Disability (ID)</v>
          </cell>
          <cell r="I22" t="str">
            <v>Y</v>
          </cell>
          <cell r="J22" t="str">
            <v>American Indian or Alaskan Native</v>
          </cell>
          <cell r="K22" t="str">
            <v>SE - WE - UPLAND HS</v>
          </cell>
          <cell r="L22" t="str">
            <v>Yes</v>
          </cell>
          <cell r="M22"/>
        </row>
        <row r="23">
          <cell r="D23">
            <v>6071604996</v>
          </cell>
          <cell r="E23" t="str">
            <v>12/11/2023</v>
          </cell>
          <cell r="F23" t="str">
            <v>M</v>
          </cell>
          <cell r="G23">
            <v>16</v>
          </cell>
          <cell r="H23" t="str">
            <v>Other Health Impairment (OHI)</v>
          </cell>
          <cell r="I23" t="str">
            <v>Y</v>
          </cell>
          <cell r="J23" t="str">
            <v>American Indian or Alaskan Native</v>
          </cell>
          <cell r="K23" t="str">
            <v>SE - EV - EARLY START</v>
          </cell>
          <cell r="L23" t="str">
            <v>Yes</v>
          </cell>
          <cell r="M23"/>
        </row>
        <row r="24">
          <cell r="D24">
            <v>5937795674</v>
          </cell>
          <cell r="E24" t="str">
            <v>03/20/2008</v>
          </cell>
          <cell r="F24" t="str">
            <v>M</v>
          </cell>
          <cell r="G24">
            <v>12</v>
          </cell>
          <cell r="H24" t="str">
            <v>Autism (AUT)</v>
          </cell>
          <cell r="I24" t="str">
            <v>Y</v>
          </cell>
          <cell r="J24" t="str">
            <v>Declined to state/Unknown</v>
          </cell>
          <cell r="K24" t="str">
            <v>SE - DM - HESPERIA SR</v>
          </cell>
          <cell r="L24" t="str">
            <v>Yes</v>
          </cell>
          <cell r="M24"/>
        </row>
        <row r="25">
          <cell r="D25">
            <v>5678570316</v>
          </cell>
          <cell r="E25" t="str">
            <v>01/24/2009</v>
          </cell>
          <cell r="F25" t="str">
            <v>M</v>
          </cell>
          <cell r="G25">
            <v>11</v>
          </cell>
          <cell r="H25" t="str">
            <v>Autism (AUT)</v>
          </cell>
          <cell r="I25" t="str">
            <v>N</v>
          </cell>
          <cell r="J25" t="str">
            <v>White</v>
          </cell>
          <cell r="K25" t="str">
            <v>SE - EV - COLTON HS 2</v>
          </cell>
          <cell r="L25" t="str">
            <v>Yes</v>
          </cell>
          <cell r="M25"/>
        </row>
        <row r="26">
          <cell r="D26">
            <v>1217611934</v>
          </cell>
          <cell r="E26" t="str">
            <v>05/20/2023</v>
          </cell>
          <cell r="F26" t="str">
            <v>M</v>
          </cell>
          <cell r="G26">
            <v>16</v>
          </cell>
          <cell r="H26" t="str">
            <v>Other Health Impairment (OHI)</v>
          </cell>
          <cell r="I26" t="str">
            <v>Y</v>
          </cell>
          <cell r="J26" t="str">
            <v>White</v>
          </cell>
          <cell r="K26" t="str">
            <v>SE - WE - EARLY START</v>
          </cell>
          <cell r="L26" t="str">
            <v>Yes</v>
          </cell>
          <cell r="M26"/>
        </row>
        <row r="27">
          <cell r="D27">
            <v>3319460728</v>
          </cell>
          <cell r="E27" t="str">
            <v>05/18/2024</v>
          </cell>
          <cell r="F27" t="str">
            <v>M</v>
          </cell>
          <cell r="G27">
            <v>16</v>
          </cell>
          <cell r="H27" t="str">
            <v>Other Health Impairment (OHI)</v>
          </cell>
          <cell r="I27" t="str">
            <v>Y</v>
          </cell>
          <cell r="J27" t="str">
            <v>Other Asian</v>
          </cell>
          <cell r="K27" t="str">
            <v>SE - WE - EARLY START</v>
          </cell>
          <cell r="L27" t="str">
            <v>Yes</v>
          </cell>
          <cell r="M27"/>
        </row>
        <row r="28">
          <cell r="D28">
            <v>6259868730</v>
          </cell>
          <cell r="E28" t="str">
            <v>05/10/2007</v>
          </cell>
          <cell r="F28" t="str">
            <v>M</v>
          </cell>
          <cell r="G28">
            <v>12</v>
          </cell>
          <cell r="H28" t="str">
            <v>Intellectual Disability (ID)</v>
          </cell>
          <cell r="I28" t="str">
            <v>Y</v>
          </cell>
          <cell r="J28" t="str">
            <v>American Indian or Alaskan Native</v>
          </cell>
          <cell r="K28" t="str">
            <v>SE - DM - COBALT IMS</v>
          </cell>
          <cell r="L28" t="str">
            <v>Yes</v>
          </cell>
          <cell r="M28"/>
        </row>
        <row r="29">
          <cell r="D29">
            <v>6892303151</v>
          </cell>
          <cell r="E29" t="str">
            <v>06/25/2025</v>
          </cell>
          <cell r="F29" t="str">
            <v>F</v>
          </cell>
          <cell r="G29">
            <v>16</v>
          </cell>
          <cell r="H29" t="str">
            <v>Hard of Hearing (HH)</v>
          </cell>
          <cell r="I29" t="str">
            <v>Y</v>
          </cell>
          <cell r="J29" t="str">
            <v>White</v>
          </cell>
          <cell r="K29" t="str">
            <v>SE - WE - EARLY START</v>
          </cell>
          <cell r="L29" t="str">
            <v>Yes</v>
          </cell>
          <cell r="M29"/>
        </row>
        <row r="30">
          <cell r="D30">
            <v>3188561567</v>
          </cell>
          <cell r="E30" t="str">
            <v>02/22/2005</v>
          </cell>
          <cell r="F30" t="str">
            <v>M</v>
          </cell>
          <cell r="G30">
            <v>12</v>
          </cell>
          <cell r="H30" t="str">
            <v>Multiple Disability (MD)</v>
          </cell>
          <cell r="I30" t="str">
            <v>N</v>
          </cell>
          <cell r="J30" t="str">
            <v>White</v>
          </cell>
          <cell r="K30" t="str">
            <v>SE - DM - GRANITE HILL</v>
          </cell>
          <cell r="L30" t="str">
            <v>Yes</v>
          </cell>
          <cell r="M30"/>
        </row>
        <row r="31">
          <cell r="D31">
            <v>4219525923</v>
          </cell>
          <cell r="E31" t="str">
            <v>05/11/2009</v>
          </cell>
          <cell r="F31" t="str">
            <v>F</v>
          </cell>
          <cell r="G31">
            <v>11</v>
          </cell>
          <cell r="H31" t="str">
            <v>Intellectual Disability (ID)</v>
          </cell>
          <cell r="I31" t="str">
            <v>N</v>
          </cell>
          <cell r="J31" t="str">
            <v>White</v>
          </cell>
          <cell r="K31" t="str">
            <v>SE - DM - VICTOR VALLEY SR</v>
          </cell>
          <cell r="L31" t="str">
            <v>Yes</v>
          </cell>
          <cell r="M31"/>
        </row>
        <row r="32">
          <cell r="D32">
            <v>1290818068</v>
          </cell>
          <cell r="E32" t="str">
            <v>03/14/2009</v>
          </cell>
          <cell r="F32" t="str">
            <v>F</v>
          </cell>
          <cell r="G32">
            <v>11</v>
          </cell>
          <cell r="H32" t="str">
            <v>Other Health Impairment (OHI)</v>
          </cell>
          <cell r="I32" t="str">
            <v>N</v>
          </cell>
          <cell r="J32" t="str">
            <v>Black or African American</v>
          </cell>
          <cell r="K32" t="str">
            <v>CS - BARBARA PHELPS CS</v>
          </cell>
          <cell r="L32" t="str">
            <v>Yes</v>
          </cell>
          <cell r="M32"/>
        </row>
        <row r="33">
          <cell r="D33">
            <v>9155325701</v>
          </cell>
          <cell r="E33" t="str">
            <v>07/19/2004</v>
          </cell>
          <cell r="F33" t="str">
            <v>M</v>
          </cell>
          <cell r="G33">
            <v>12</v>
          </cell>
          <cell r="H33" t="str">
            <v>Multiple Disability (MD)</v>
          </cell>
          <cell r="I33" t="str">
            <v>N</v>
          </cell>
          <cell r="J33" t="str">
            <v>Black or African American</v>
          </cell>
          <cell r="K33" t="str">
            <v>SE - DM - HESPERIA STAR</v>
          </cell>
          <cell r="L33" t="str">
            <v>Yes</v>
          </cell>
          <cell r="M33"/>
        </row>
        <row r="34">
          <cell r="D34">
            <v>1435012863</v>
          </cell>
          <cell r="E34" t="str">
            <v>08/14/2007</v>
          </cell>
          <cell r="F34" t="str">
            <v>M</v>
          </cell>
          <cell r="G34">
            <v>12</v>
          </cell>
          <cell r="H34" t="str">
            <v>Intellectual Disability (ID)</v>
          </cell>
          <cell r="I34" t="str">
            <v>N</v>
          </cell>
          <cell r="J34" t="str">
            <v>White</v>
          </cell>
          <cell r="K34" t="str">
            <v>SE - DM - COBALT IMS</v>
          </cell>
          <cell r="L34" t="str">
            <v>Yes</v>
          </cell>
          <cell r="M34"/>
        </row>
        <row r="35">
          <cell r="D35">
            <v>1969865335</v>
          </cell>
          <cell r="E35" t="str">
            <v>12/28/2010</v>
          </cell>
          <cell r="F35" t="str">
            <v>F</v>
          </cell>
          <cell r="G35">
            <v>9</v>
          </cell>
          <cell r="H35" t="str">
            <v>Intellectual Disability (ID)</v>
          </cell>
          <cell r="I35" t="str">
            <v>Y</v>
          </cell>
          <cell r="J35" t="str">
            <v>White</v>
          </cell>
          <cell r="K35" t="str">
            <v>SE - DM - SULTANA</v>
          </cell>
          <cell r="L35" t="str">
            <v>Yes</v>
          </cell>
          <cell r="M35"/>
        </row>
        <row r="36">
          <cell r="D36">
            <v>3386128926</v>
          </cell>
          <cell r="E36" t="str">
            <v>07/31/2023</v>
          </cell>
          <cell r="F36" t="str">
            <v>M</v>
          </cell>
          <cell r="G36">
            <v>16</v>
          </cell>
          <cell r="H36" t="str">
            <v>Hard of Hearing (HH)</v>
          </cell>
          <cell r="I36" t="str">
            <v>N</v>
          </cell>
          <cell r="J36" t="str">
            <v>Filipino</v>
          </cell>
          <cell r="K36" t="str">
            <v>SE - WE - EARLY START</v>
          </cell>
          <cell r="L36" t="str">
            <v>Yes</v>
          </cell>
          <cell r="M36"/>
        </row>
        <row r="37">
          <cell r="D37">
            <v>5808665125</v>
          </cell>
          <cell r="E37" t="str">
            <v>10/24/2023</v>
          </cell>
          <cell r="F37" t="str">
            <v>F</v>
          </cell>
          <cell r="G37">
            <v>16</v>
          </cell>
          <cell r="H37" t="str">
            <v>Speech or Language Impairment (SLI)</v>
          </cell>
          <cell r="I37" t="str">
            <v>Y</v>
          </cell>
          <cell r="J37" t="str">
            <v>Declined to state/Unknown</v>
          </cell>
          <cell r="K37" t="str">
            <v>SE - EV - EARLY START</v>
          </cell>
          <cell r="L37" t="str">
            <v>Yes</v>
          </cell>
          <cell r="M37"/>
        </row>
        <row r="38">
          <cell r="D38">
            <v>7138227273</v>
          </cell>
          <cell r="E38" t="str">
            <v>04/19/2007</v>
          </cell>
          <cell r="F38" t="str">
            <v>M</v>
          </cell>
          <cell r="G38">
            <v>12</v>
          </cell>
          <cell r="H38" t="str">
            <v>Multiple Disability (MD)</v>
          </cell>
          <cell r="I38" t="str">
            <v>Y</v>
          </cell>
          <cell r="J38" t="str">
            <v>White</v>
          </cell>
          <cell r="K38" t="str">
            <v>SE - DM - BARSTOW JH</v>
          </cell>
          <cell r="L38" t="str">
            <v>Yes</v>
          </cell>
          <cell r="M38"/>
        </row>
        <row r="39">
          <cell r="D39">
            <v>6154202384</v>
          </cell>
          <cell r="E39" t="str">
            <v>01/08/2004</v>
          </cell>
          <cell r="F39" t="str">
            <v>F</v>
          </cell>
          <cell r="G39">
            <v>12</v>
          </cell>
          <cell r="H39" t="str">
            <v>Autism (AUT)</v>
          </cell>
          <cell r="I39" t="str">
            <v>Y</v>
          </cell>
          <cell r="J39" t="str">
            <v>White</v>
          </cell>
          <cell r="K39" t="str">
            <v>SE - DM - COBALT IMS</v>
          </cell>
          <cell r="L39" t="str">
            <v>Yes</v>
          </cell>
          <cell r="M39"/>
        </row>
        <row r="40">
          <cell r="D40">
            <v>9245584675</v>
          </cell>
          <cell r="E40" t="str">
            <v>03/24/2011</v>
          </cell>
          <cell r="F40" t="str">
            <v>F</v>
          </cell>
          <cell r="G40">
            <v>9</v>
          </cell>
          <cell r="H40" t="str">
            <v>Multiple Disability (MD)</v>
          </cell>
          <cell r="I40" t="str">
            <v>Y</v>
          </cell>
          <cell r="J40" t="str">
            <v>White</v>
          </cell>
          <cell r="K40" t="str">
            <v>SE - EV - RIALTO HS 2</v>
          </cell>
          <cell r="L40" t="str">
            <v>Yes</v>
          </cell>
          <cell r="M40"/>
        </row>
        <row r="41">
          <cell r="D41">
            <v>4326030876</v>
          </cell>
          <cell r="E41" t="str">
            <v>01/30/2011</v>
          </cell>
          <cell r="F41" t="str">
            <v>M</v>
          </cell>
          <cell r="G41">
            <v>9</v>
          </cell>
          <cell r="H41" t="str">
            <v>Specific Learning Disability (SLD)</v>
          </cell>
          <cell r="I41" t="str">
            <v>Y</v>
          </cell>
          <cell r="J41" t="str">
            <v>Declined to state/Unknown</v>
          </cell>
          <cell r="K41" t="str">
            <v>CS - TRI CITY CS</v>
          </cell>
          <cell r="L41" t="str">
            <v>Yes</v>
          </cell>
          <cell r="M41"/>
        </row>
        <row r="42">
          <cell r="D42">
            <v>1513289687</v>
          </cell>
          <cell r="E42" t="str">
            <v>07/14/2009</v>
          </cell>
          <cell r="F42" t="str">
            <v>M</v>
          </cell>
          <cell r="G42">
            <v>11</v>
          </cell>
          <cell r="H42" t="str">
            <v>Intellectual Disability (ID)</v>
          </cell>
          <cell r="I42" t="str">
            <v>Y</v>
          </cell>
          <cell r="J42" t="str">
            <v>Other Asian</v>
          </cell>
          <cell r="K42" t="str">
            <v>SE - WE - UPLAND HS</v>
          </cell>
          <cell r="L42" t="str">
            <v>Yes</v>
          </cell>
          <cell r="M42"/>
        </row>
        <row r="43">
          <cell r="D43">
            <v>9970491148</v>
          </cell>
          <cell r="E43" t="str">
            <v>10/04/2024</v>
          </cell>
          <cell r="F43" t="str">
            <v>F</v>
          </cell>
          <cell r="G43">
            <v>16</v>
          </cell>
          <cell r="H43" t="str">
            <v>Hard of Hearing (HH)</v>
          </cell>
          <cell r="I43" t="str">
            <v>Y</v>
          </cell>
          <cell r="J43" t="str">
            <v>Other Asian</v>
          </cell>
          <cell r="K43" t="str">
            <v>SE - EV - EARLY START</v>
          </cell>
          <cell r="L43" t="str">
            <v>Yes</v>
          </cell>
          <cell r="M43"/>
        </row>
        <row r="44">
          <cell r="D44">
            <v>2730566171</v>
          </cell>
          <cell r="E44" t="str">
            <v>10/03/2025</v>
          </cell>
          <cell r="F44" t="str">
            <v>F</v>
          </cell>
          <cell r="G44">
            <v>16</v>
          </cell>
          <cell r="H44" t="str">
            <v>Other Health Impairment (OHI)</v>
          </cell>
          <cell r="I44" t="str">
            <v>Y</v>
          </cell>
          <cell r="J44" t="str">
            <v>White</v>
          </cell>
          <cell r="K44" t="str">
            <v>SE - EV - EARLY START</v>
          </cell>
          <cell r="L44" t="str">
            <v>Yes</v>
          </cell>
          <cell r="M44"/>
        </row>
        <row r="45">
          <cell r="D45">
            <v>6942104853</v>
          </cell>
          <cell r="E45" t="str">
            <v>09/02/2008</v>
          </cell>
          <cell r="F45" t="str">
            <v>F</v>
          </cell>
          <cell r="G45">
            <v>11</v>
          </cell>
          <cell r="H45" t="str">
            <v>Emotional Disturbance (ED)</v>
          </cell>
          <cell r="I45" t="str">
            <v>N</v>
          </cell>
          <cell r="J45" t="str">
            <v>White</v>
          </cell>
          <cell r="K45" t="str">
            <v>CS - INDEPENDENT LEARNING ACADEMY (ILA)</v>
          </cell>
          <cell r="L45" t="str">
            <v>Yes</v>
          </cell>
          <cell r="M45"/>
        </row>
        <row r="46">
          <cell r="D46">
            <v>4250651545</v>
          </cell>
          <cell r="E46" t="str">
            <v>06/01/2009</v>
          </cell>
          <cell r="F46" t="str">
            <v>M</v>
          </cell>
          <cell r="G46">
            <v>11</v>
          </cell>
          <cell r="H46" t="str">
            <v>Multiple Disability (MD)</v>
          </cell>
          <cell r="I46" t="str">
            <v>Y</v>
          </cell>
          <cell r="J46" t="str">
            <v>White</v>
          </cell>
          <cell r="K46" t="str">
            <v>SE - EV - RIALTO HS 2</v>
          </cell>
          <cell r="L46" t="str">
            <v>Yes</v>
          </cell>
          <cell r="M46"/>
        </row>
        <row r="47">
          <cell r="D47">
            <v>7467078385</v>
          </cell>
          <cell r="E47" t="str">
            <v>03/28/2011</v>
          </cell>
          <cell r="F47" t="str">
            <v>M</v>
          </cell>
          <cell r="G47">
            <v>9</v>
          </cell>
          <cell r="H47" t="str">
            <v>Specific Learning Disability (SLD)</v>
          </cell>
          <cell r="I47" t="str">
            <v>Y</v>
          </cell>
          <cell r="J47" t="str">
            <v>American Indian or Alaskan Native</v>
          </cell>
          <cell r="K47" t="str">
            <v>CS - TRI CITY CS</v>
          </cell>
          <cell r="L47" t="str">
            <v>Yes</v>
          </cell>
          <cell r="M47"/>
        </row>
        <row r="48">
          <cell r="D48">
            <v>8328809338</v>
          </cell>
          <cell r="E48" t="str">
            <v>07/04/2008</v>
          </cell>
          <cell r="F48" t="str">
            <v>M</v>
          </cell>
          <cell r="G48">
            <v>11</v>
          </cell>
          <cell r="H48" t="str">
            <v>Other Health Impairment (OHI)</v>
          </cell>
          <cell r="I48" t="str">
            <v>Y</v>
          </cell>
          <cell r="J48" t="str">
            <v>American Indian or Alaskan Native</v>
          </cell>
          <cell r="K48" t="str">
            <v>CS - BOB MURPHY CS</v>
          </cell>
          <cell r="L48" t="str">
            <v>Yes</v>
          </cell>
          <cell r="M48"/>
        </row>
        <row r="49">
          <cell r="D49">
            <v>3062937396</v>
          </cell>
          <cell r="E49" t="str">
            <v>08/23/2011</v>
          </cell>
          <cell r="F49" t="str">
            <v>M</v>
          </cell>
          <cell r="G49">
            <v>9</v>
          </cell>
          <cell r="H49" t="str">
            <v>Multiple Disability (MD)</v>
          </cell>
          <cell r="I49" t="str">
            <v>N</v>
          </cell>
          <cell r="J49" t="str">
            <v>Filipino</v>
          </cell>
          <cell r="K49" t="str">
            <v>SE - DM - COBALT IMS</v>
          </cell>
          <cell r="L49" t="str">
            <v>Yes</v>
          </cell>
          <cell r="M49"/>
        </row>
        <row r="50">
          <cell r="D50">
            <v>6469077903</v>
          </cell>
          <cell r="E50" t="str">
            <v>12/25/2008</v>
          </cell>
          <cell r="F50" t="str">
            <v>M</v>
          </cell>
          <cell r="G50">
            <v>11</v>
          </cell>
          <cell r="H50" t="str">
            <v>Other Health Impairment (OHI)</v>
          </cell>
          <cell r="I50" t="str">
            <v>Y</v>
          </cell>
          <cell r="J50" t="str">
            <v>Declined to state/Unknown</v>
          </cell>
          <cell r="K50" t="str">
            <v>CS - DOROTHY GIBSON CS</v>
          </cell>
          <cell r="L50" t="str">
            <v>Yes</v>
          </cell>
          <cell r="M50"/>
        </row>
        <row r="51">
          <cell r="D51">
            <v>5614885337</v>
          </cell>
          <cell r="E51" t="str">
            <v>07/17/2009</v>
          </cell>
          <cell r="F51" t="str">
            <v>M</v>
          </cell>
          <cell r="G51">
            <v>11</v>
          </cell>
          <cell r="H51" t="str">
            <v>Other Health Impairment (OHI)</v>
          </cell>
          <cell r="I51" t="str">
            <v>Y</v>
          </cell>
          <cell r="J51" t="str">
            <v>Declined to state/Unknown</v>
          </cell>
          <cell r="K51" t="str">
            <v>SE - DM - VISION ALT LEARNING ACADEMY</v>
          </cell>
          <cell r="L51" t="str">
            <v>Yes</v>
          </cell>
          <cell r="M51"/>
        </row>
        <row r="52">
          <cell r="D52">
            <v>9260164438</v>
          </cell>
          <cell r="E52" t="str">
            <v>11/03/2009</v>
          </cell>
          <cell r="F52" t="str">
            <v>M</v>
          </cell>
          <cell r="G52">
            <v>10</v>
          </cell>
          <cell r="H52" t="str">
            <v>Emotional Disturbance (ED)</v>
          </cell>
          <cell r="I52" t="str">
            <v>N</v>
          </cell>
          <cell r="J52" t="str">
            <v>Black or African American</v>
          </cell>
          <cell r="K52" t="str">
            <v>SE - WE - GIBSON HS</v>
          </cell>
          <cell r="L52" t="str">
            <v>Yes</v>
          </cell>
          <cell r="M52"/>
        </row>
        <row r="53">
          <cell r="D53">
            <v>8186970328</v>
          </cell>
          <cell r="E53" t="str">
            <v>03/18/2004</v>
          </cell>
          <cell r="F53" t="str">
            <v>M</v>
          </cell>
          <cell r="G53">
            <v>12</v>
          </cell>
          <cell r="H53" t="str">
            <v>Autism (AUT)</v>
          </cell>
          <cell r="I53" t="str">
            <v>Y</v>
          </cell>
          <cell r="J53" t="str">
            <v>White</v>
          </cell>
          <cell r="K53" t="str">
            <v>SE - DM - HESPERIA STAR</v>
          </cell>
          <cell r="L53" t="str">
            <v>Yes</v>
          </cell>
          <cell r="M53"/>
        </row>
        <row r="54">
          <cell r="D54">
            <v>7042096618</v>
          </cell>
          <cell r="E54" t="str">
            <v>03/09/2008</v>
          </cell>
          <cell r="F54" t="str">
            <v>M</v>
          </cell>
          <cell r="G54">
            <v>12</v>
          </cell>
          <cell r="H54" t="str">
            <v>Autism (AUT)</v>
          </cell>
          <cell r="I54" t="str">
            <v>N</v>
          </cell>
          <cell r="J54" t="str">
            <v>Black or African American</v>
          </cell>
          <cell r="K54" t="str">
            <v>SE - DM - VICTOR VALLEY SR</v>
          </cell>
          <cell r="L54" t="str">
            <v>Yes</v>
          </cell>
          <cell r="M54"/>
        </row>
        <row r="55">
          <cell r="D55">
            <v>6781748815</v>
          </cell>
          <cell r="E55" t="str">
            <v>07/12/2011</v>
          </cell>
          <cell r="F55" t="str">
            <v>M</v>
          </cell>
          <cell r="G55">
            <v>9</v>
          </cell>
          <cell r="H55" t="str">
            <v>Specific Learning Disability (SLD)</v>
          </cell>
          <cell r="I55" t="str">
            <v>N</v>
          </cell>
          <cell r="J55" t="str">
            <v>Black or African American</v>
          </cell>
          <cell r="K55" t="str">
            <v>SE - DM - VISION ALT LEARNING ACADEMY</v>
          </cell>
          <cell r="L55" t="str">
            <v>Yes</v>
          </cell>
          <cell r="M55"/>
        </row>
        <row r="56">
          <cell r="D56">
            <v>7293086616</v>
          </cell>
          <cell r="E56" t="str">
            <v>07/30/2009</v>
          </cell>
          <cell r="F56" t="str">
            <v>M</v>
          </cell>
          <cell r="G56">
            <v>11</v>
          </cell>
          <cell r="H56" t="str">
            <v>Specific Learning Disability (SLD)</v>
          </cell>
          <cell r="I56" t="str">
            <v>N</v>
          </cell>
          <cell r="J56" t="str">
            <v>Black or African American</v>
          </cell>
          <cell r="K56" t="str">
            <v>JCS - EAST VALLEY JUV COURT SCHOOL</v>
          </cell>
          <cell r="L56" t="str">
            <v>Yes</v>
          </cell>
          <cell r="M56"/>
        </row>
        <row r="57">
          <cell r="D57">
            <v>5785621942</v>
          </cell>
          <cell r="E57" t="str">
            <v>03/21/2009</v>
          </cell>
          <cell r="F57" t="str">
            <v>F</v>
          </cell>
          <cell r="G57">
            <v>11</v>
          </cell>
          <cell r="H57" t="str">
            <v>Intellectual Disability (ID)</v>
          </cell>
          <cell r="I57" t="str">
            <v>N</v>
          </cell>
          <cell r="J57" t="str">
            <v>Black or African American</v>
          </cell>
          <cell r="K57" t="str">
            <v>SE - DM - COBALT IMS</v>
          </cell>
          <cell r="L57" t="str">
            <v>Yes</v>
          </cell>
          <cell r="M57"/>
        </row>
        <row r="58">
          <cell r="D58">
            <v>7062278861</v>
          </cell>
          <cell r="E58" t="str">
            <v>11/23/2007</v>
          </cell>
          <cell r="F58" t="str">
            <v>M</v>
          </cell>
          <cell r="G58">
            <v>12</v>
          </cell>
          <cell r="H58" t="str">
            <v>Autism (AUT)</v>
          </cell>
          <cell r="I58" t="str">
            <v>Y</v>
          </cell>
          <cell r="J58" t="str">
            <v>Declined to state/Unknown</v>
          </cell>
          <cell r="K58" t="str">
            <v>SE - DM - VICTOR VALLEY SR</v>
          </cell>
          <cell r="L58" t="str">
            <v>Yes</v>
          </cell>
          <cell r="M58"/>
        </row>
        <row r="59">
          <cell r="D59">
            <v>8521995870</v>
          </cell>
          <cell r="E59" t="str">
            <v>03/20/2004</v>
          </cell>
          <cell r="F59" t="str">
            <v>F</v>
          </cell>
          <cell r="G59">
            <v>12</v>
          </cell>
          <cell r="H59" t="str">
            <v>Intellectual Disability (ID)</v>
          </cell>
          <cell r="I59" t="str">
            <v>Y</v>
          </cell>
          <cell r="J59" t="str">
            <v>White</v>
          </cell>
          <cell r="K59" t="str">
            <v>SE - DM - SULTANA</v>
          </cell>
          <cell r="L59" t="str">
            <v>Yes</v>
          </cell>
          <cell r="M59"/>
        </row>
        <row r="60">
          <cell r="D60">
            <v>6186319694</v>
          </cell>
          <cell r="E60" t="str">
            <v>06/11/2005</v>
          </cell>
          <cell r="F60" t="str">
            <v>F</v>
          </cell>
          <cell r="G60">
            <v>12</v>
          </cell>
          <cell r="H60" t="str">
            <v>Multiple Disability (MD)</v>
          </cell>
          <cell r="I60" t="str">
            <v>Y</v>
          </cell>
          <cell r="J60" t="str">
            <v>White</v>
          </cell>
          <cell r="K60" t="str">
            <v>SE - DM - COBALT IMS</v>
          </cell>
          <cell r="L60" t="str">
            <v>Yes</v>
          </cell>
          <cell r="M60"/>
        </row>
        <row r="61">
          <cell r="D61">
            <v>9637364744</v>
          </cell>
          <cell r="E61" t="str">
            <v>01/08/2007</v>
          </cell>
          <cell r="F61" t="str">
            <v>F</v>
          </cell>
          <cell r="G61">
            <v>12</v>
          </cell>
          <cell r="H61" t="str">
            <v>Autism (AUT)</v>
          </cell>
          <cell r="I61" t="str">
            <v>Y</v>
          </cell>
          <cell r="J61" t="str">
            <v>White</v>
          </cell>
          <cell r="K61" t="str">
            <v>SE - WE - COLONY HS</v>
          </cell>
          <cell r="L61" t="str">
            <v>Yes</v>
          </cell>
          <cell r="M61"/>
        </row>
        <row r="62">
          <cell r="D62">
            <v>8076323946</v>
          </cell>
          <cell r="E62" t="str">
            <v>04/07/2007</v>
          </cell>
          <cell r="F62" t="str">
            <v>M</v>
          </cell>
          <cell r="G62">
            <v>12</v>
          </cell>
          <cell r="H62" t="str">
            <v>Autism (AUT)</v>
          </cell>
          <cell r="I62" t="str">
            <v>Y</v>
          </cell>
          <cell r="J62" t="str">
            <v>White</v>
          </cell>
          <cell r="K62" t="str">
            <v>SE - WE - ALTA LOMA HS</v>
          </cell>
          <cell r="L62" t="str">
            <v>Yes</v>
          </cell>
          <cell r="M62"/>
        </row>
        <row r="63">
          <cell r="D63">
            <v>7974305368</v>
          </cell>
          <cell r="E63" t="str">
            <v>08/02/2010</v>
          </cell>
          <cell r="F63" t="str">
            <v>M</v>
          </cell>
          <cell r="G63">
            <v>10</v>
          </cell>
          <cell r="H63" t="str">
            <v>Autism (AUT)</v>
          </cell>
          <cell r="I63" t="str">
            <v>Y</v>
          </cell>
          <cell r="J63" t="str">
            <v>White</v>
          </cell>
          <cell r="K63" t="str">
            <v>SE - DM - SULTANA</v>
          </cell>
          <cell r="L63" t="str">
            <v>Yes</v>
          </cell>
          <cell r="M63"/>
        </row>
        <row r="64">
          <cell r="D64">
            <v>9191824211</v>
          </cell>
          <cell r="E64" t="str">
            <v>08/22/2005</v>
          </cell>
          <cell r="F64" t="str">
            <v>M</v>
          </cell>
          <cell r="G64">
            <v>12</v>
          </cell>
          <cell r="H64" t="str">
            <v>Intellectual Disability (ID)</v>
          </cell>
          <cell r="I64" t="str">
            <v>Y</v>
          </cell>
          <cell r="J64" t="str">
            <v>American Indian or Alaskan Native</v>
          </cell>
          <cell r="K64" t="str">
            <v>SE - WE - UPLAND HS</v>
          </cell>
          <cell r="L64" t="str">
            <v>Yes</v>
          </cell>
          <cell r="M64"/>
        </row>
        <row r="65">
          <cell r="D65">
            <v>2506886335</v>
          </cell>
          <cell r="E65" t="str">
            <v>06/20/2009</v>
          </cell>
          <cell r="F65" t="str">
            <v>M</v>
          </cell>
          <cell r="G65">
            <v>11</v>
          </cell>
          <cell r="H65" t="str">
            <v>Multiple Disability (MD)</v>
          </cell>
          <cell r="I65" t="str">
            <v>Y</v>
          </cell>
          <cell r="J65" t="str">
            <v>White</v>
          </cell>
          <cell r="K65" t="str">
            <v>SE - WE - LOS OSOS HS</v>
          </cell>
          <cell r="L65" t="str">
            <v>Yes</v>
          </cell>
          <cell r="M65"/>
        </row>
        <row r="66">
          <cell r="D66">
            <v>1433004783</v>
          </cell>
          <cell r="E66" t="str">
            <v>08/10/2011</v>
          </cell>
          <cell r="F66" t="str">
            <v>M</v>
          </cell>
          <cell r="G66">
            <v>9</v>
          </cell>
          <cell r="H66" t="str">
            <v>Autism (AUT)</v>
          </cell>
          <cell r="I66" t="str">
            <v>N</v>
          </cell>
          <cell r="J66" t="str">
            <v>White</v>
          </cell>
          <cell r="K66" t="str">
            <v>SE - DM - GRANITE HILL</v>
          </cell>
          <cell r="L66" t="str">
            <v>Yes</v>
          </cell>
          <cell r="M66"/>
        </row>
        <row r="67">
          <cell r="D67">
            <v>1186904193</v>
          </cell>
          <cell r="E67" t="str">
            <v>12/22/2004</v>
          </cell>
          <cell r="F67" t="str">
            <v>M</v>
          </cell>
          <cell r="G67">
            <v>12</v>
          </cell>
          <cell r="H67" t="str">
            <v>Autism (AUT)</v>
          </cell>
          <cell r="I67" t="str">
            <v>Y</v>
          </cell>
          <cell r="J67" t="str">
            <v>Declined to state/Unknown</v>
          </cell>
          <cell r="K67" t="str">
            <v>SE - WE - UPLAND HS</v>
          </cell>
          <cell r="L67" t="str">
            <v>Yes</v>
          </cell>
          <cell r="M67"/>
        </row>
        <row r="68">
          <cell r="D68">
            <v>8053796507</v>
          </cell>
          <cell r="E68" t="str">
            <v>03/14/2007</v>
          </cell>
          <cell r="F68" t="str">
            <v>M</v>
          </cell>
          <cell r="G68">
            <v>12</v>
          </cell>
          <cell r="H68" t="str">
            <v>Autism (AUT)</v>
          </cell>
          <cell r="I68" t="str">
            <v>Y</v>
          </cell>
          <cell r="J68" t="str">
            <v>Declined to state/Unknown</v>
          </cell>
          <cell r="K68" t="str">
            <v>SE - DM - COBALT IMS</v>
          </cell>
          <cell r="L68" t="str">
            <v>Yes</v>
          </cell>
          <cell r="M68"/>
        </row>
        <row r="69">
          <cell r="D69">
            <v>1336479647</v>
          </cell>
          <cell r="E69" t="str">
            <v>04/11/2007</v>
          </cell>
          <cell r="F69" t="str">
            <v>M</v>
          </cell>
          <cell r="G69">
            <v>12</v>
          </cell>
          <cell r="H69" t="str">
            <v>Emotional Disturbance (ED)</v>
          </cell>
          <cell r="I69" t="str">
            <v>Y</v>
          </cell>
          <cell r="J69" t="str">
            <v>Black or African American</v>
          </cell>
          <cell r="K69" t="str">
            <v>CS - VICTORVILLE EDUCATION CENTER SECOND PROGRAM</v>
          </cell>
          <cell r="L69" t="str">
            <v>Yes</v>
          </cell>
          <cell r="M69"/>
        </row>
        <row r="70">
          <cell r="D70">
            <v>8048088606</v>
          </cell>
          <cell r="E70" t="str">
            <v>03/28/2024</v>
          </cell>
          <cell r="F70" t="str">
            <v>F</v>
          </cell>
          <cell r="G70">
            <v>16</v>
          </cell>
          <cell r="H70" t="str">
            <v>Hard of Hearing (HH)</v>
          </cell>
          <cell r="I70" t="str">
            <v>Y</v>
          </cell>
          <cell r="J70" t="str">
            <v>White</v>
          </cell>
          <cell r="K70" t="str">
            <v>SE - EV - EARLY START</v>
          </cell>
          <cell r="L70" t="str">
            <v>Yes</v>
          </cell>
          <cell r="M70"/>
        </row>
        <row r="71">
          <cell r="D71">
            <v>9582943961</v>
          </cell>
          <cell r="E71" t="str">
            <v>03/21/2011</v>
          </cell>
          <cell r="F71" t="str">
            <v>M</v>
          </cell>
          <cell r="G71">
            <v>9</v>
          </cell>
          <cell r="H71" t="str">
            <v>Intellectual Disability (ID)</v>
          </cell>
          <cell r="I71" t="str">
            <v>N</v>
          </cell>
          <cell r="J71" t="str">
            <v>White</v>
          </cell>
          <cell r="K71" t="str">
            <v>SE - DM - VICTOR VALLEY SR</v>
          </cell>
          <cell r="L71" t="str">
            <v>Yes</v>
          </cell>
          <cell r="M71"/>
        </row>
        <row r="72">
          <cell r="D72">
            <v>5929973065</v>
          </cell>
          <cell r="E72" t="str">
            <v>11/01/2007</v>
          </cell>
          <cell r="F72" t="str">
            <v>M</v>
          </cell>
          <cell r="G72">
            <v>12</v>
          </cell>
          <cell r="H72" t="str">
            <v>Autism (AUT)</v>
          </cell>
          <cell r="I72" t="str">
            <v>N</v>
          </cell>
          <cell r="J72" t="str">
            <v>White</v>
          </cell>
          <cell r="K72" t="str">
            <v>SE - DM - LUCERNE SR</v>
          </cell>
          <cell r="L72" t="str">
            <v>Yes</v>
          </cell>
          <cell r="M72"/>
        </row>
        <row r="73">
          <cell r="D73">
            <v>6028677810</v>
          </cell>
          <cell r="E73" t="str">
            <v>09/20/2023</v>
          </cell>
          <cell r="F73" t="str">
            <v>M</v>
          </cell>
          <cell r="G73">
            <v>16</v>
          </cell>
          <cell r="H73" t="str">
            <v>Other Health Impairment (OHI)</v>
          </cell>
          <cell r="I73" t="str">
            <v>Y</v>
          </cell>
          <cell r="J73" t="str">
            <v>Declined to state/Unknown</v>
          </cell>
          <cell r="K73" t="str">
            <v>SE - WE - EARLY START</v>
          </cell>
          <cell r="L73" t="str">
            <v>Yes</v>
          </cell>
          <cell r="M73"/>
        </row>
        <row r="74">
          <cell r="D74">
            <v>4678228967</v>
          </cell>
          <cell r="E74" t="str">
            <v>07/03/2023</v>
          </cell>
          <cell r="F74" t="str">
            <v>M</v>
          </cell>
          <cell r="G74">
            <v>16</v>
          </cell>
          <cell r="H74" t="str">
            <v>Speech or Language Impairment (SLI)</v>
          </cell>
          <cell r="I74" t="str">
            <v>Y</v>
          </cell>
          <cell r="J74" t="str">
            <v>White</v>
          </cell>
          <cell r="K74" t="str">
            <v>SE - EV - EARLY START</v>
          </cell>
          <cell r="L74" t="str">
            <v>Yes</v>
          </cell>
          <cell r="M74"/>
        </row>
        <row r="75">
          <cell r="D75">
            <v>3188560757</v>
          </cell>
          <cell r="E75" t="str">
            <v>12/09/2005</v>
          </cell>
          <cell r="F75" t="str">
            <v>M</v>
          </cell>
          <cell r="G75">
            <v>12</v>
          </cell>
          <cell r="H75" t="str">
            <v>Intellectual Disability (ID)</v>
          </cell>
          <cell r="I75" t="str">
            <v>N</v>
          </cell>
          <cell r="J75" t="str">
            <v>White</v>
          </cell>
          <cell r="K75" t="str">
            <v>SE - DM - GRANITE HILL</v>
          </cell>
          <cell r="L75" t="str">
            <v>Yes</v>
          </cell>
          <cell r="M75"/>
        </row>
        <row r="76">
          <cell r="D76">
            <v>6906062068</v>
          </cell>
          <cell r="E76" t="str">
            <v>03/28/2008</v>
          </cell>
          <cell r="F76" t="str">
            <v>M</v>
          </cell>
          <cell r="G76">
            <v>12</v>
          </cell>
          <cell r="H76" t="str">
            <v>Intellectual Disability (ID)</v>
          </cell>
          <cell r="I76" t="str">
            <v>Y</v>
          </cell>
          <cell r="J76" t="str">
            <v>Laotian</v>
          </cell>
          <cell r="K76" t="str">
            <v>SE - DM - VICTOR VALLEY SR</v>
          </cell>
          <cell r="L76" t="str">
            <v>Yes</v>
          </cell>
          <cell r="M76"/>
        </row>
        <row r="77">
          <cell r="D77">
            <v>7008827400</v>
          </cell>
          <cell r="E77" t="str">
            <v>01/28/2009</v>
          </cell>
          <cell r="F77" t="str">
            <v>M</v>
          </cell>
          <cell r="G77">
            <v>11</v>
          </cell>
          <cell r="H77" t="str">
            <v>Other Health Impairment (OHI)</v>
          </cell>
          <cell r="I77" t="str">
            <v>N</v>
          </cell>
          <cell r="J77" t="str">
            <v>Black or African American</v>
          </cell>
          <cell r="K77" t="str">
            <v>SE - WE - GIBSON HS</v>
          </cell>
          <cell r="L77" t="str">
            <v>Yes</v>
          </cell>
          <cell r="M77"/>
        </row>
        <row r="78">
          <cell r="D78">
            <v>7391980787</v>
          </cell>
          <cell r="E78" t="str">
            <v>03/17/2010</v>
          </cell>
          <cell r="F78" t="str">
            <v>M</v>
          </cell>
          <cell r="G78">
            <v>9</v>
          </cell>
          <cell r="H78" t="str">
            <v>Other Health Impairment (OHI)</v>
          </cell>
          <cell r="I78" t="str">
            <v>Y</v>
          </cell>
          <cell r="J78" t="str">
            <v>Declined to state/Unknown</v>
          </cell>
          <cell r="K78" t="str">
            <v>CS - BARBARA PHELPS CS</v>
          </cell>
          <cell r="L78" t="str">
            <v>Yes</v>
          </cell>
          <cell r="M78"/>
        </row>
        <row r="79">
          <cell r="D79">
            <v>9564109198</v>
          </cell>
          <cell r="E79" t="str">
            <v>08/08/2008</v>
          </cell>
          <cell r="F79" t="str">
            <v>M</v>
          </cell>
          <cell r="G79">
            <v>12</v>
          </cell>
          <cell r="H79" t="str">
            <v>Intellectual Disability (ID)</v>
          </cell>
          <cell r="I79" t="str">
            <v>N</v>
          </cell>
          <cell r="J79" t="str">
            <v>Black or African American</v>
          </cell>
          <cell r="K79" t="str">
            <v>SE - WE - ALTA LOMA HS</v>
          </cell>
          <cell r="L79" t="str">
            <v>Yes</v>
          </cell>
          <cell r="M79"/>
        </row>
        <row r="80">
          <cell r="D80">
            <v>9867080463</v>
          </cell>
          <cell r="E80" t="str">
            <v>11/14/2025</v>
          </cell>
          <cell r="F80" t="str">
            <v>F</v>
          </cell>
          <cell r="G80">
            <v>16</v>
          </cell>
          <cell r="H80" t="str">
            <v>Hard of Hearing (HH)</v>
          </cell>
          <cell r="I80" t="str">
            <v>Y</v>
          </cell>
          <cell r="J80" t="str">
            <v>White</v>
          </cell>
          <cell r="K80" t="str">
            <v>SE - DM - EARLY START</v>
          </cell>
          <cell r="L80" t="str">
            <v>Yes</v>
          </cell>
          <cell r="M80"/>
        </row>
        <row r="81">
          <cell r="D81">
            <v>7639774200</v>
          </cell>
          <cell r="E81" t="str">
            <v>06/02/2006</v>
          </cell>
          <cell r="F81" t="str">
            <v>M</v>
          </cell>
          <cell r="G81">
            <v>12</v>
          </cell>
          <cell r="H81" t="str">
            <v>Autism (AUT)</v>
          </cell>
          <cell r="I81" t="str">
            <v>Y</v>
          </cell>
          <cell r="J81" t="str">
            <v>White</v>
          </cell>
          <cell r="K81" t="str">
            <v>SE - WE - COLONY HS</v>
          </cell>
          <cell r="L81" t="str">
            <v>Yes</v>
          </cell>
          <cell r="M81"/>
        </row>
        <row r="82">
          <cell r="D82">
            <v>6197861981</v>
          </cell>
          <cell r="E82" t="str">
            <v>08/13/2009</v>
          </cell>
          <cell r="F82" t="str">
            <v>F</v>
          </cell>
          <cell r="G82">
            <v>11</v>
          </cell>
          <cell r="H82" t="str">
            <v>Autism (AUT)</v>
          </cell>
          <cell r="I82" t="str">
            <v>Y</v>
          </cell>
          <cell r="J82" t="str">
            <v>Declined to state/Unknown</v>
          </cell>
          <cell r="K82" t="str">
            <v>SE - HOME HOSPITAL</v>
          </cell>
          <cell r="L82" t="str">
            <v>Yes</v>
          </cell>
          <cell r="M82"/>
        </row>
        <row r="83">
          <cell r="D83">
            <v>2624561976</v>
          </cell>
          <cell r="E83" t="str">
            <v>09/22/2008</v>
          </cell>
          <cell r="F83" t="str">
            <v>M</v>
          </cell>
          <cell r="G83">
            <v>11</v>
          </cell>
          <cell r="H83" t="str">
            <v>Multiple Disability (MD)</v>
          </cell>
          <cell r="I83" t="str">
            <v>Y</v>
          </cell>
          <cell r="J83" t="str">
            <v>Declined to state/Unknown</v>
          </cell>
          <cell r="K83" t="str">
            <v>SE - EV - RIALTO HS 2</v>
          </cell>
          <cell r="L83" t="str">
            <v>Yes</v>
          </cell>
          <cell r="M83"/>
        </row>
        <row r="84">
          <cell r="D84">
            <v>8515843986</v>
          </cell>
          <cell r="E84" t="str">
            <v>09/23/2009</v>
          </cell>
          <cell r="F84" t="str">
            <v>M</v>
          </cell>
          <cell r="G84">
            <v>10</v>
          </cell>
          <cell r="H84" t="str">
            <v>Autism (AUT)</v>
          </cell>
          <cell r="I84" t="str">
            <v>Y</v>
          </cell>
          <cell r="J84" t="str">
            <v>Declined to state/Unknown</v>
          </cell>
          <cell r="K84" t="str">
            <v>SE - DM - SERRANO</v>
          </cell>
          <cell r="L84" t="str">
            <v>Yes</v>
          </cell>
          <cell r="M84"/>
        </row>
        <row r="85">
          <cell r="D85">
            <v>4090433038</v>
          </cell>
          <cell r="E85" t="str">
            <v>07/02/2023</v>
          </cell>
          <cell r="F85" t="str">
            <v>M</v>
          </cell>
          <cell r="G85">
            <v>16</v>
          </cell>
          <cell r="H85" t="str">
            <v>Other Health Impairment (OHI)</v>
          </cell>
          <cell r="I85" t="str">
            <v>Y</v>
          </cell>
          <cell r="J85" t="str">
            <v>Declined to state/Unknown</v>
          </cell>
          <cell r="K85" t="str">
            <v>SE - WE - EARLY START</v>
          </cell>
          <cell r="L85" t="str">
            <v>Yes</v>
          </cell>
          <cell r="M85"/>
        </row>
        <row r="86">
          <cell r="D86">
            <v>3186316247</v>
          </cell>
          <cell r="E86" t="str">
            <v>03/25/2004</v>
          </cell>
          <cell r="F86" t="str">
            <v>F</v>
          </cell>
          <cell r="G86">
            <v>12</v>
          </cell>
          <cell r="H86" t="str">
            <v>Multiple Disability (MD)</v>
          </cell>
          <cell r="I86" t="str">
            <v>Y</v>
          </cell>
          <cell r="J86" t="str">
            <v>White</v>
          </cell>
          <cell r="K86" t="str">
            <v>SE - DM - GRANITE HILL</v>
          </cell>
          <cell r="L86" t="str">
            <v>Yes</v>
          </cell>
          <cell r="M86"/>
        </row>
        <row r="87">
          <cell r="D87">
            <v>9678183963</v>
          </cell>
          <cell r="E87" t="str">
            <v>05/22/2011</v>
          </cell>
          <cell r="F87" t="str">
            <v>M</v>
          </cell>
          <cell r="G87">
            <v>9</v>
          </cell>
          <cell r="H87" t="str">
            <v>Autism (AUT)</v>
          </cell>
          <cell r="I87" t="str">
            <v>Y</v>
          </cell>
          <cell r="J87" t="str">
            <v>White</v>
          </cell>
          <cell r="K87" t="str">
            <v>SE - DM - SERRANO</v>
          </cell>
          <cell r="L87" t="str">
            <v>Yes</v>
          </cell>
          <cell r="M87"/>
        </row>
        <row r="88">
          <cell r="D88">
            <v>5346264677</v>
          </cell>
          <cell r="E88" t="str">
            <v>08/06/2005</v>
          </cell>
          <cell r="F88" t="str">
            <v>M</v>
          </cell>
          <cell r="G88">
            <v>12</v>
          </cell>
          <cell r="H88" t="str">
            <v>Intellectual Disability (ID)</v>
          </cell>
          <cell r="I88" t="str">
            <v>N</v>
          </cell>
          <cell r="J88" t="str">
            <v>White</v>
          </cell>
          <cell r="K88" t="str">
            <v>SE - DM - SULTANA</v>
          </cell>
          <cell r="L88" t="str">
            <v>Yes</v>
          </cell>
          <cell r="M88"/>
        </row>
        <row r="89">
          <cell r="D89">
            <v>3543507641</v>
          </cell>
          <cell r="E89" t="str">
            <v>12/22/2010</v>
          </cell>
          <cell r="F89" t="str">
            <v>M</v>
          </cell>
          <cell r="G89">
            <v>9</v>
          </cell>
          <cell r="H89" t="str">
            <v>Other Health Impairment (OHI)</v>
          </cell>
          <cell r="I89" t="str">
            <v>N</v>
          </cell>
          <cell r="J89" t="str">
            <v>Other Pacific Islander</v>
          </cell>
          <cell r="K89" t="str">
            <v>SE - WE - GIBSON HS</v>
          </cell>
          <cell r="L89" t="str">
            <v>Yes</v>
          </cell>
          <cell r="M89"/>
        </row>
        <row r="90">
          <cell r="D90">
            <v>5271086845</v>
          </cell>
          <cell r="E90" t="str">
            <v>01/13/2011</v>
          </cell>
          <cell r="F90" t="str">
            <v>F</v>
          </cell>
          <cell r="G90">
            <v>9</v>
          </cell>
          <cell r="H90" t="str">
            <v>Multiple Disability (MD)</v>
          </cell>
          <cell r="I90" t="str">
            <v>N</v>
          </cell>
          <cell r="J90" t="str">
            <v>Filipino</v>
          </cell>
          <cell r="K90" t="str">
            <v>SE - DM - SERRANO</v>
          </cell>
          <cell r="L90" t="str">
            <v>Yes</v>
          </cell>
          <cell r="M90"/>
        </row>
        <row r="91">
          <cell r="D91">
            <v>2363138201</v>
          </cell>
          <cell r="E91" t="str">
            <v>05/04/2010</v>
          </cell>
          <cell r="F91" t="str">
            <v>M</v>
          </cell>
          <cell r="G91">
            <v>10</v>
          </cell>
          <cell r="H91" t="str">
            <v>Specific Learning Disability (SLD)</v>
          </cell>
          <cell r="I91" t="str">
            <v>Y</v>
          </cell>
          <cell r="J91" t="str">
            <v>Declined to state/Unknown</v>
          </cell>
          <cell r="K91" t="str">
            <v>CS - VISION CS</v>
          </cell>
          <cell r="L91" t="str">
            <v>Yes</v>
          </cell>
          <cell r="M91"/>
        </row>
        <row r="92">
          <cell r="D92">
            <v>1082239132</v>
          </cell>
          <cell r="E92" t="str">
            <v>08/16/2004</v>
          </cell>
          <cell r="F92" t="str">
            <v>F</v>
          </cell>
          <cell r="G92">
            <v>12</v>
          </cell>
          <cell r="H92" t="str">
            <v>Intellectual Disability (ID)</v>
          </cell>
          <cell r="I92" t="str">
            <v>N</v>
          </cell>
          <cell r="J92" t="str">
            <v>White</v>
          </cell>
          <cell r="K92" t="str">
            <v>SE - DM - SULTANA</v>
          </cell>
          <cell r="L92" t="str">
            <v>Yes</v>
          </cell>
          <cell r="M92"/>
        </row>
        <row r="93">
          <cell r="D93">
            <v>6540596370</v>
          </cell>
          <cell r="E93" t="str">
            <v>11/11/2006</v>
          </cell>
          <cell r="F93" t="str">
            <v>M</v>
          </cell>
          <cell r="G93">
            <v>12</v>
          </cell>
          <cell r="H93" t="str">
            <v>Intellectual Disability (ID)</v>
          </cell>
          <cell r="I93" t="str">
            <v>N</v>
          </cell>
          <cell r="J93" t="str">
            <v>White</v>
          </cell>
          <cell r="K93" t="str">
            <v>SE - EV - COLTON HS 2</v>
          </cell>
          <cell r="L93" t="str">
            <v>Yes</v>
          </cell>
          <cell r="M93"/>
        </row>
        <row r="94">
          <cell r="D94">
            <v>3468031817</v>
          </cell>
          <cell r="E94" t="str">
            <v>02/22/2008</v>
          </cell>
          <cell r="F94" t="str">
            <v>F</v>
          </cell>
          <cell r="G94">
            <v>12</v>
          </cell>
          <cell r="H94" t="str">
            <v>Intellectual Disability (ID)</v>
          </cell>
          <cell r="I94" t="str">
            <v>N</v>
          </cell>
          <cell r="J94" t="str">
            <v>White</v>
          </cell>
          <cell r="K94" t="str">
            <v>SE - DM - OAK HILLS HS</v>
          </cell>
          <cell r="L94" t="str">
            <v>Yes</v>
          </cell>
          <cell r="M94"/>
        </row>
        <row r="95">
          <cell r="D95">
            <v>5303047206</v>
          </cell>
          <cell r="E95" t="str">
            <v>06/02/2011</v>
          </cell>
          <cell r="F95" t="str">
            <v>M</v>
          </cell>
          <cell r="G95">
            <v>9</v>
          </cell>
          <cell r="H95" t="str">
            <v>Intellectual Disability (ID)</v>
          </cell>
          <cell r="I95" t="str">
            <v>Y</v>
          </cell>
          <cell r="J95" t="str">
            <v>White</v>
          </cell>
          <cell r="K95" t="str">
            <v>SE - DM - COBALT IMS</v>
          </cell>
          <cell r="L95" t="str">
            <v>Yes</v>
          </cell>
          <cell r="M95"/>
        </row>
        <row r="96">
          <cell r="D96">
            <v>7263361844</v>
          </cell>
          <cell r="E96" t="str">
            <v>11/06/2008</v>
          </cell>
          <cell r="F96" t="str">
            <v>M</v>
          </cell>
          <cell r="G96">
            <v>11</v>
          </cell>
          <cell r="H96" t="str">
            <v>Emotional Disturbance (ED)</v>
          </cell>
          <cell r="I96" t="str">
            <v>Y</v>
          </cell>
          <cell r="J96" t="str">
            <v>White</v>
          </cell>
          <cell r="K96" t="str">
            <v>SE - EV - BARBARA PHELPS SP ED</v>
          </cell>
          <cell r="L96" t="str">
            <v>Yes</v>
          </cell>
          <cell r="M96"/>
        </row>
        <row r="97">
          <cell r="D97">
            <v>5940506452</v>
          </cell>
          <cell r="E97" t="str">
            <v>02/04/2009</v>
          </cell>
          <cell r="F97" t="str">
            <v>F</v>
          </cell>
          <cell r="G97">
            <v>11</v>
          </cell>
          <cell r="H97" t="str">
            <v>Emotional Disturbance (ED)</v>
          </cell>
          <cell r="I97" t="str">
            <v>Y</v>
          </cell>
          <cell r="J97" t="str">
            <v>Japanese</v>
          </cell>
          <cell r="K97" t="str">
            <v>SE - EV - BARBARA PHELPS SP ED</v>
          </cell>
          <cell r="L97" t="str">
            <v>Yes</v>
          </cell>
          <cell r="M97"/>
        </row>
        <row r="98">
          <cell r="D98">
            <v>9045625498</v>
          </cell>
          <cell r="E98" t="str">
            <v>08/31/2023</v>
          </cell>
          <cell r="F98" t="str">
            <v>M</v>
          </cell>
          <cell r="G98">
            <v>16</v>
          </cell>
          <cell r="H98" t="str">
            <v>Hard of Hearing (HH)</v>
          </cell>
          <cell r="I98" t="str">
            <v>Y</v>
          </cell>
          <cell r="J98" t="str">
            <v>White</v>
          </cell>
          <cell r="K98" t="str">
            <v>SE - DM - EARLY START</v>
          </cell>
          <cell r="L98" t="str">
            <v>Yes</v>
          </cell>
          <cell r="M98"/>
        </row>
        <row r="99">
          <cell r="D99">
            <v>3186904217</v>
          </cell>
          <cell r="E99" t="str">
            <v>09/07/2004</v>
          </cell>
          <cell r="F99" t="str">
            <v>M</v>
          </cell>
          <cell r="G99">
            <v>12</v>
          </cell>
          <cell r="H99" t="str">
            <v>Autism (AUT)</v>
          </cell>
          <cell r="I99" t="str">
            <v>Y</v>
          </cell>
          <cell r="J99" t="str">
            <v>Declined to state/Unknown</v>
          </cell>
          <cell r="K99" t="str">
            <v>SE - WE - CHINO HS</v>
          </cell>
          <cell r="L99" t="str">
            <v>Yes</v>
          </cell>
          <cell r="M99"/>
        </row>
        <row r="100">
          <cell r="D100">
            <v>9940876143</v>
          </cell>
          <cell r="E100" t="str">
            <v>09/27/2008</v>
          </cell>
          <cell r="F100" t="str">
            <v>M</v>
          </cell>
          <cell r="G100">
            <v>12</v>
          </cell>
          <cell r="H100" t="str">
            <v>Autism (AUT)</v>
          </cell>
          <cell r="I100" t="str">
            <v>Y</v>
          </cell>
          <cell r="J100" t="str">
            <v>Declined to state/Unknown</v>
          </cell>
          <cell r="K100" t="str">
            <v>SE - DM - HESPERIA SR</v>
          </cell>
          <cell r="L100" t="str">
            <v>Yes</v>
          </cell>
          <cell r="M100"/>
        </row>
        <row r="101">
          <cell r="D101">
            <v>3186902057</v>
          </cell>
          <cell r="E101" t="str">
            <v>03/08/2004</v>
          </cell>
          <cell r="F101" t="str">
            <v>F</v>
          </cell>
          <cell r="G101">
            <v>12</v>
          </cell>
          <cell r="H101" t="str">
            <v>Autism (AUT)</v>
          </cell>
          <cell r="I101" t="str">
            <v>N</v>
          </cell>
          <cell r="J101" t="str">
            <v>White</v>
          </cell>
          <cell r="K101" t="str">
            <v>SE - WE - LOS OSOS HS</v>
          </cell>
          <cell r="L101" t="str">
            <v>Yes</v>
          </cell>
          <cell r="M101"/>
        </row>
        <row r="102">
          <cell r="D102">
            <v>1188204603</v>
          </cell>
          <cell r="E102" t="str">
            <v>03/05/2005</v>
          </cell>
          <cell r="F102" t="str">
            <v>M</v>
          </cell>
          <cell r="G102">
            <v>12</v>
          </cell>
          <cell r="H102" t="str">
            <v>Autism (AUT)</v>
          </cell>
          <cell r="I102" t="str">
            <v>Y</v>
          </cell>
          <cell r="J102" t="str">
            <v>White</v>
          </cell>
          <cell r="K102" t="str">
            <v>SE - DM - VISION ALT LEARNING ACADEMY</v>
          </cell>
          <cell r="L102" t="str">
            <v>Yes</v>
          </cell>
          <cell r="M102"/>
        </row>
        <row r="103">
          <cell r="D103">
            <v>1532160720</v>
          </cell>
          <cell r="E103" t="str">
            <v>11/29/2023</v>
          </cell>
          <cell r="F103" t="str">
            <v>M</v>
          </cell>
          <cell r="G103">
            <v>16</v>
          </cell>
          <cell r="H103" t="str">
            <v>Intellectual Disability (ID)</v>
          </cell>
          <cell r="I103" t="str">
            <v>Y</v>
          </cell>
          <cell r="J103" t="str">
            <v>White</v>
          </cell>
          <cell r="K103" t="str">
            <v>SE - EV - EARLY START</v>
          </cell>
          <cell r="L103" t="str">
            <v>Yes</v>
          </cell>
          <cell r="M103"/>
        </row>
        <row r="104">
          <cell r="D104">
            <v>5669025838</v>
          </cell>
          <cell r="E104" t="str">
            <v>11/26/2008</v>
          </cell>
          <cell r="F104" t="str">
            <v>F</v>
          </cell>
          <cell r="G104">
            <v>11</v>
          </cell>
          <cell r="H104" t="str">
            <v>Multiple Disability (MD)</v>
          </cell>
          <cell r="I104" t="str">
            <v>Y</v>
          </cell>
          <cell r="J104" t="str">
            <v>White</v>
          </cell>
          <cell r="K104" t="str">
            <v>SE - DM - SERRANO</v>
          </cell>
          <cell r="L104" t="str">
            <v>Yes</v>
          </cell>
          <cell r="M104"/>
        </row>
        <row r="105">
          <cell r="D105">
            <v>7927621874</v>
          </cell>
          <cell r="E105" t="str">
            <v>03/24/2009</v>
          </cell>
          <cell r="F105" t="str">
            <v>M</v>
          </cell>
          <cell r="G105">
            <v>11</v>
          </cell>
          <cell r="H105" t="str">
            <v>Specific Learning Disability (SLD)</v>
          </cell>
          <cell r="I105" t="str">
            <v>N</v>
          </cell>
          <cell r="J105" t="str">
            <v>Black or African American</v>
          </cell>
          <cell r="K105" t="str">
            <v>JCS - EAST VALLEY JUV COURT SCHOOL</v>
          </cell>
          <cell r="L105" t="str">
            <v>Yes</v>
          </cell>
          <cell r="M105"/>
        </row>
        <row r="106">
          <cell r="D106">
            <v>8824722884</v>
          </cell>
          <cell r="E106" t="str">
            <v>03/05/2024</v>
          </cell>
          <cell r="F106" t="str">
            <v>F</v>
          </cell>
          <cell r="G106">
            <v>16</v>
          </cell>
          <cell r="H106" t="str">
            <v>Hard of Hearing (HH)</v>
          </cell>
          <cell r="I106" t="str">
            <v>N</v>
          </cell>
          <cell r="J106" t="str">
            <v>White</v>
          </cell>
          <cell r="K106" t="str">
            <v>SE - EV - EARLY START</v>
          </cell>
          <cell r="L106" t="str">
            <v>Yes</v>
          </cell>
          <cell r="M106"/>
        </row>
        <row r="107">
          <cell r="D107">
            <v>2112458995</v>
          </cell>
          <cell r="E107" t="str">
            <v>10/25/2007</v>
          </cell>
          <cell r="F107" t="str">
            <v>M</v>
          </cell>
          <cell r="G107">
            <v>12</v>
          </cell>
          <cell r="H107" t="str">
            <v>Autism (AUT)</v>
          </cell>
          <cell r="I107" t="str">
            <v>N</v>
          </cell>
          <cell r="J107" t="str">
            <v>American Indian or Alaskan Native</v>
          </cell>
          <cell r="K107" t="str">
            <v>SE - DM - OAK HILLS HS</v>
          </cell>
          <cell r="L107" t="str">
            <v>Yes</v>
          </cell>
          <cell r="M107"/>
        </row>
        <row r="108">
          <cell r="D108">
            <v>2678588201</v>
          </cell>
          <cell r="E108" t="str">
            <v>10/25/2007</v>
          </cell>
          <cell r="F108" t="str">
            <v>M</v>
          </cell>
          <cell r="G108">
            <v>12</v>
          </cell>
          <cell r="H108" t="str">
            <v>Autism (AUT)</v>
          </cell>
          <cell r="I108" t="str">
            <v>Y</v>
          </cell>
          <cell r="J108" t="str">
            <v>Declined to state/Unknown</v>
          </cell>
          <cell r="K108" t="str">
            <v>SE - DM - SULTANA</v>
          </cell>
          <cell r="L108" t="str">
            <v>Yes</v>
          </cell>
          <cell r="M108"/>
        </row>
        <row r="109">
          <cell r="D109">
            <v>8319020038</v>
          </cell>
          <cell r="E109" t="str">
            <v>04/08/2025</v>
          </cell>
          <cell r="F109" t="str">
            <v>M</v>
          </cell>
          <cell r="G109">
            <v>16</v>
          </cell>
          <cell r="H109" t="str">
            <v>Hard of Hearing (HH)</v>
          </cell>
          <cell r="I109" t="str">
            <v>Y</v>
          </cell>
          <cell r="J109" t="str">
            <v>White</v>
          </cell>
          <cell r="K109" t="str">
            <v>SE - EV - EARLY START</v>
          </cell>
          <cell r="L109" t="str">
            <v>Yes</v>
          </cell>
          <cell r="M109"/>
        </row>
        <row r="110">
          <cell r="D110">
            <v>3972373211</v>
          </cell>
          <cell r="E110" t="str">
            <v>04/24/2009</v>
          </cell>
          <cell r="F110" t="str">
            <v>M</v>
          </cell>
          <cell r="G110">
            <v>11</v>
          </cell>
          <cell r="H110" t="str">
            <v>Emotional Disturbance (ED)</v>
          </cell>
          <cell r="I110" t="str">
            <v>Y</v>
          </cell>
          <cell r="J110" t="str">
            <v>White</v>
          </cell>
          <cell r="K110" t="str">
            <v>CS - TRI CITY CS</v>
          </cell>
          <cell r="L110" t="str">
            <v>Yes</v>
          </cell>
          <cell r="M110"/>
        </row>
        <row r="111">
          <cell r="D111">
            <v>3264817803</v>
          </cell>
          <cell r="E111" t="str">
            <v>04/22/2009</v>
          </cell>
          <cell r="F111" t="str">
            <v>F</v>
          </cell>
          <cell r="G111">
            <v>11</v>
          </cell>
          <cell r="H111" t="str">
            <v>Autism (AUT)</v>
          </cell>
          <cell r="I111" t="str">
            <v>N</v>
          </cell>
          <cell r="J111" t="str">
            <v>Black or African American</v>
          </cell>
          <cell r="K111" t="str">
            <v>SE - DM - OAK HILLS HS</v>
          </cell>
          <cell r="L111" t="str">
            <v>Yes</v>
          </cell>
          <cell r="M111"/>
        </row>
        <row r="112">
          <cell r="D112">
            <v>4624616643</v>
          </cell>
          <cell r="E112" t="str">
            <v>11/14/2009</v>
          </cell>
          <cell r="F112" t="str">
            <v>F</v>
          </cell>
          <cell r="G112">
            <v>10</v>
          </cell>
          <cell r="H112" t="str">
            <v>Multiple Disability (MD)</v>
          </cell>
          <cell r="I112" t="str">
            <v>Y</v>
          </cell>
          <cell r="J112" t="str">
            <v>White</v>
          </cell>
          <cell r="K112" t="str">
            <v>SE - WE - RANCHO CUC HS</v>
          </cell>
          <cell r="L112" t="str">
            <v>Yes</v>
          </cell>
          <cell r="M112"/>
        </row>
        <row r="113">
          <cell r="D113">
            <v>5417047833</v>
          </cell>
          <cell r="E113" t="str">
            <v>09/03/2024</v>
          </cell>
          <cell r="F113" t="str">
            <v>M</v>
          </cell>
          <cell r="G113">
            <v>16</v>
          </cell>
          <cell r="H113" t="str">
            <v>Hard of Hearing (HH)</v>
          </cell>
          <cell r="I113" t="str">
            <v>Y</v>
          </cell>
          <cell r="J113" t="str">
            <v>White</v>
          </cell>
          <cell r="K113" t="str">
            <v>SE - DM - EARLY START</v>
          </cell>
          <cell r="L113" t="str">
            <v>Yes</v>
          </cell>
          <cell r="M113"/>
        </row>
        <row r="114">
          <cell r="D114">
            <v>8797810926</v>
          </cell>
          <cell r="E114" t="str">
            <v>05/23/2006</v>
          </cell>
          <cell r="F114" t="str">
            <v>F</v>
          </cell>
          <cell r="G114">
            <v>12</v>
          </cell>
          <cell r="H114" t="str">
            <v>Multiple Disability (MD)</v>
          </cell>
          <cell r="I114" t="str">
            <v>Y</v>
          </cell>
          <cell r="J114" t="str">
            <v>White</v>
          </cell>
          <cell r="K114" t="str">
            <v>SE - EV - RIALTO HS 2</v>
          </cell>
          <cell r="L114" t="str">
            <v>Yes</v>
          </cell>
          <cell r="M114"/>
        </row>
        <row r="115">
          <cell r="D115">
            <v>9674315640</v>
          </cell>
          <cell r="E115" t="str">
            <v>04/14/2011</v>
          </cell>
          <cell r="F115" t="str">
            <v>M</v>
          </cell>
          <cell r="G115">
            <v>9</v>
          </cell>
          <cell r="H115" t="str">
            <v>Intellectual Disability (ID)</v>
          </cell>
          <cell r="I115" t="str">
            <v>Y</v>
          </cell>
          <cell r="J115" t="str">
            <v>White</v>
          </cell>
          <cell r="K115" t="str">
            <v>SE - DM - COBALT IMS</v>
          </cell>
          <cell r="L115" t="str">
            <v>Yes</v>
          </cell>
          <cell r="M115"/>
        </row>
        <row r="116">
          <cell r="D116">
            <v>8041519675</v>
          </cell>
          <cell r="E116" t="str">
            <v>11/22/2010</v>
          </cell>
          <cell r="F116" t="str">
            <v>F</v>
          </cell>
          <cell r="G116">
            <v>9</v>
          </cell>
          <cell r="H116" t="str">
            <v>Autism (AUT)</v>
          </cell>
          <cell r="I116" t="str">
            <v>Y</v>
          </cell>
          <cell r="J116" t="str">
            <v>American Indian or Alaskan Native</v>
          </cell>
          <cell r="K116" t="str">
            <v>SE - DM - VISION ALT LEARNING ACADEMY</v>
          </cell>
          <cell r="L116" t="str">
            <v>Yes</v>
          </cell>
          <cell r="M116"/>
        </row>
        <row r="117">
          <cell r="D117">
            <v>8094712667</v>
          </cell>
          <cell r="E117" t="str">
            <v>01/17/2024</v>
          </cell>
          <cell r="F117" t="str">
            <v>M</v>
          </cell>
          <cell r="G117">
            <v>16</v>
          </cell>
          <cell r="H117" t="str">
            <v>Other Health Impairment (OHI)</v>
          </cell>
          <cell r="I117" t="str">
            <v>N</v>
          </cell>
          <cell r="J117" t="str">
            <v>Black or African American</v>
          </cell>
          <cell r="K117" t="str">
            <v>SE - EV - EARLY START</v>
          </cell>
          <cell r="L117" t="str">
            <v>Yes</v>
          </cell>
          <cell r="M117"/>
        </row>
        <row r="118">
          <cell r="D118">
            <v>9231310967</v>
          </cell>
          <cell r="E118" t="str">
            <v>04/12/2010</v>
          </cell>
          <cell r="F118" t="str">
            <v>M</v>
          </cell>
          <cell r="G118">
            <v>10</v>
          </cell>
          <cell r="H118" t="str">
            <v>Specific Learning Disability (SLD)</v>
          </cell>
          <cell r="I118" t="str">
            <v>Y</v>
          </cell>
          <cell r="J118" t="str">
            <v>Hawaiian</v>
          </cell>
          <cell r="K118" t="str">
            <v>SE - DM - VISION ALT LEARNING ACADEMY</v>
          </cell>
          <cell r="L118" t="str">
            <v>Yes</v>
          </cell>
          <cell r="M118"/>
        </row>
        <row r="119">
          <cell r="D119">
            <v>5435238633</v>
          </cell>
          <cell r="E119" t="str">
            <v>07/17/2007</v>
          </cell>
          <cell r="F119" t="str">
            <v>M</v>
          </cell>
          <cell r="G119">
            <v>12</v>
          </cell>
          <cell r="H119" t="str">
            <v>Autism (AUT)</v>
          </cell>
          <cell r="I119" t="str">
            <v>Y</v>
          </cell>
          <cell r="J119" t="str">
            <v>White</v>
          </cell>
          <cell r="K119" t="str">
            <v>SE - DM - HESPERIA STAR</v>
          </cell>
          <cell r="L119" t="str">
            <v>Yes</v>
          </cell>
          <cell r="M119"/>
        </row>
        <row r="120">
          <cell r="D120">
            <v>6405283192</v>
          </cell>
          <cell r="E120" t="str">
            <v>07/05/2010</v>
          </cell>
          <cell r="F120" t="str">
            <v>F</v>
          </cell>
          <cell r="G120">
            <v>10</v>
          </cell>
          <cell r="H120" t="str">
            <v>Intellectual Disability (ID)</v>
          </cell>
          <cell r="I120" t="str">
            <v>Y</v>
          </cell>
          <cell r="J120" t="str">
            <v>White</v>
          </cell>
          <cell r="K120" t="str">
            <v>SE - WE - COLONY HS</v>
          </cell>
          <cell r="L120" t="str">
            <v>Yes</v>
          </cell>
          <cell r="M120"/>
        </row>
        <row r="121">
          <cell r="D121">
            <v>7645250417</v>
          </cell>
          <cell r="E121" t="str">
            <v>11/12/2007</v>
          </cell>
          <cell r="F121" t="str">
            <v>F</v>
          </cell>
          <cell r="G121">
            <v>12</v>
          </cell>
          <cell r="H121" t="str">
            <v>Other Health Impairment (OHI)</v>
          </cell>
          <cell r="I121" t="str">
            <v>Y</v>
          </cell>
          <cell r="J121" t="str">
            <v>American Indian or Alaskan Native</v>
          </cell>
          <cell r="K121" t="str">
            <v>CS - BARBARA PHELPS CS</v>
          </cell>
          <cell r="L121" t="str">
            <v>Yes</v>
          </cell>
          <cell r="M121"/>
        </row>
        <row r="122">
          <cell r="D122">
            <v>1217864711</v>
          </cell>
          <cell r="E122" t="str">
            <v>06/26/2010</v>
          </cell>
          <cell r="F122" t="str">
            <v>M</v>
          </cell>
          <cell r="G122">
            <v>9</v>
          </cell>
          <cell r="H122" t="str">
            <v>Specific Learning Disability (SLD)</v>
          </cell>
          <cell r="I122" t="str">
            <v>Y</v>
          </cell>
          <cell r="J122" t="str">
            <v>Declined to state/Unknown</v>
          </cell>
          <cell r="K122" t="str">
            <v>CS - BARBARA PHELPS CS</v>
          </cell>
          <cell r="L122" t="str">
            <v>Yes</v>
          </cell>
          <cell r="M122"/>
        </row>
        <row r="123">
          <cell r="D123">
            <v>8715376124</v>
          </cell>
          <cell r="E123" t="str">
            <v>07/05/2010</v>
          </cell>
          <cell r="F123" t="str">
            <v>M</v>
          </cell>
          <cell r="G123">
            <v>10</v>
          </cell>
          <cell r="H123" t="str">
            <v>Autism (AUT)</v>
          </cell>
          <cell r="I123" t="str">
            <v>Y</v>
          </cell>
          <cell r="J123" t="str">
            <v>White</v>
          </cell>
          <cell r="K123" t="str">
            <v>SE - DM - COBALT IMS</v>
          </cell>
          <cell r="L123" t="str">
            <v>Yes</v>
          </cell>
          <cell r="M123"/>
        </row>
        <row r="124">
          <cell r="D124">
            <v>6153069205</v>
          </cell>
          <cell r="E124" t="str">
            <v>03/06/2011</v>
          </cell>
          <cell r="F124" t="str">
            <v>F</v>
          </cell>
          <cell r="G124">
            <v>9</v>
          </cell>
          <cell r="H124" t="str">
            <v>Autism (AUT)</v>
          </cell>
          <cell r="I124" t="str">
            <v>Y</v>
          </cell>
          <cell r="J124" t="str">
            <v>Declined to state/Unknown</v>
          </cell>
          <cell r="K124" t="str">
            <v>SE - DM - OAK HILLS HS</v>
          </cell>
          <cell r="L124" t="str">
            <v>Yes</v>
          </cell>
          <cell r="M124"/>
        </row>
        <row r="125">
          <cell r="D125">
            <v>4186316430</v>
          </cell>
          <cell r="E125" t="str">
            <v>12/25/2004</v>
          </cell>
          <cell r="F125" t="str">
            <v>M</v>
          </cell>
          <cell r="G125">
            <v>12</v>
          </cell>
          <cell r="H125" t="str">
            <v>Intellectual Disability (ID)</v>
          </cell>
          <cell r="I125" t="str">
            <v>Y</v>
          </cell>
          <cell r="J125" t="str">
            <v>Declined to state/Unknown</v>
          </cell>
          <cell r="K125" t="str">
            <v>SE - DM - COBALT IMS</v>
          </cell>
          <cell r="L125" t="str">
            <v>Yes</v>
          </cell>
          <cell r="M125"/>
        </row>
        <row r="126">
          <cell r="D126">
            <v>2441535322</v>
          </cell>
          <cell r="E126" t="str">
            <v>05/16/2008</v>
          </cell>
          <cell r="F126" t="str">
            <v>M</v>
          </cell>
          <cell r="G126">
            <v>12</v>
          </cell>
          <cell r="H126" t="str">
            <v>Other Health Impairment (OHI)</v>
          </cell>
          <cell r="I126" t="str">
            <v>Y</v>
          </cell>
          <cell r="J126" t="str">
            <v>White</v>
          </cell>
          <cell r="K126" t="str">
            <v>SE - WE - ALTA LOMA HS</v>
          </cell>
          <cell r="L126" t="str">
            <v>Yes</v>
          </cell>
          <cell r="M126"/>
        </row>
        <row r="127">
          <cell r="D127">
            <v>7307074135</v>
          </cell>
          <cell r="E127" t="str">
            <v>02/26/2009</v>
          </cell>
          <cell r="F127" t="str">
            <v>M</v>
          </cell>
          <cell r="G127">
            <v>10</v>
          </cell>
          <cell r="H127" t="str">
            <v>Specific Learning Disability (SLD)</v>
          </cell>
          <cell r="I127" t="str">
            <v>Y</v>
          </cell>
          <cell r="J127" t="str">
            <v>American Indian or Alaskan Native</v>
          </cell>
          <cell r="K127" t="str">
            <v>CS - TRI CITY CS</v>
          </cell>
          <cell r="L127" t="str">
            <v>Yes</v>
          </cell>
          <cell r="M127"/>
        </row>
        <row r="128">
          <cell r="D128">
            <v>8494269186</v>
          </cell>
          <cell r="E128" t="str">
            <v>04/12/2009</v>
          </cell>
          <cell r="F128" t="str">
            <v>F</v>
          </cell>
          <cell r="G128">
            <v>11</v>
          </cell>
          <cell r="H128" t="str">
            <v>Specific Learning Disability (SLD)</v>
          </cell>
          <cell r="I128" t="str">
            <v>Y</v>
          </cell>
          <cell r="J128" t="str">
            <v>White</v>
          </cell>
          <cell r="K128" t="str">
            <v>CS - CHAFFEY WEST CS</v>
          </cell>
          <cell r="L128" t="str">
            <v>Yes</v>
          </cell>
          <cell r="M128"/>
        </row>
        <row r="129">
          <cell r="D129">
            <v>3933228148</v>
          </cell>
          <cell r="E129" t="str">
            <v>11/03/2006</v>
          </cell>
          <cell r="F129" t="str">
            <v>M</v>
          </cell>
          <cell r="G129">
            <v>12</v>
          </cell>
          <cell r="H129" t="str">
            <v>Intellectual Disability (ID)</v>
          </cell>
          <cell r="I129" t="str">
            <v>N</v>
          </cell>
          <cell r="J129" t="str">
            <v>Black or African American</v>
          </cell>
          <cell r="K129" t="str">
            <v>SE - DM - SULTANA</v>
          </cell>
          <cell r="L129" t="str">
            <v>Yes</v>
          </cell>
          <cell r="M129"/>
        </row>
        <row r="130">
          <cell r="D130">
            <v>1140274326</v>
          </cell>
          <cell r="E130" t="str">
            <v>08/22/2009</v>
          </cell>
          <cell r="F130" t="str">
            <v>M</v>
          </cell>
          <cell r="G130">
            <v>11</v>
          </cell>
          <cell r="H130" t="str">
            <v>Specific Learning Disability (SLD)</v>
          </cell>
          <cell r="I130" t="str">
            <v>Y</v>
          </cell>
          <cell r="J130" t="str">
            <v>White</v>
          </cell>
          <cell r="K130" t="str">
            <v>SE - DM - NEEDLES SR</v>
          </cell>
          <cell r="L130" t="str">
            <v>Yes</v>
          </cell>
          <cell r="M130"/>
        </row>
        <row r="131">
          <cell r="D131">
            <v>3779521953</v>
          </cell>
          <cell r="E131" t="str">
            <v>02/04/2006</v>
          </cell>
          <cell r="F131" t="str">
            <v>F</v>
          </cell>
          <cell r="G131">
            <v>12</v>
          </cell>
          <cell r="H131" t="str">
            <v>Intellectual Disability (ID)</v>
          </cell>
          <cell r="I131" t="str">
            <v>Y</v>
          </cell>
          <cell r="J131" t="str">
            <v>Declined to state/Unknown</v>
          </cell>
          <cell r="K131" t="str">
            <v>SE - DM - BARSTOW JH</v>
          </cell>
          <cell r="L131" t="str">
            <v>Yes</v>
          </cell>
          <cell r="M131"/>
        </row>
        <row r="132">
          <cell r="D132">
            <v>4109815203</v>
          </cell>
          <cell r="E132" t="str">
            <v>11/20/2007</v>
          </cell>
          <cell r="F132" t="str">
            <v>M</v>
          </cell>
          <cell r="G132">
            <v>11</v>
          </cell>
          <cell r="H132" t="str">
            <v>Specific Learning Disability (SLD)</v>
          </cell>
          <cell r="I132" t="str">
            <v>Y</v>
          </cell>
          <cell r="J132" t="str">
            <v>American Indian or Alaskan Native</v>
          </cell>
          <cell r="K132" t="str">
            <v>JCS - EAST VALLEY JUV COURT SCHOOL</v>
          </cell>
          <cell r="L132" t="str">
            <v>Yes</v>
          </cell>
          <cell r="M132"/>
        </row>
        <row r="133">
          <cell r="D133">
            <v>4647441925</v>
          </cell>
          <cell r="E133" t="str">
            <v>02/06/2025</v>
          </cell>
          <cell r="F133" t="str">
            <v>M</v>
          </cell>
          <cell r="G133">
            <v>16</v>
          </cell>
          <cell r="H133" t="str">
            <v>Hard of Hearing (HH)</v>
          </cell>
          <cell r="I133" t="str">
            <v>Y</v>
          </cell>
          <cell r="J133" t="str">
            <v>Declined to state/Unknown</v>
          </cell>
          <cell r="K133" t="str">
            <v>SE - WE - EARLY START</v>
          </cell>
          <cell r="L133" t="str">
            <v>Yes</v>
          </cell>
          <cell r="M133"/>
        </row>
        <row r="134">
          <cell r="D134">
            <v>8429773263</v>
          </cell>
          <cell r="E134" t="str">
            <v>11/21/2007</v>
          </cell>
          <cell r="F134" t="str">
            <v>M</v>
          </cell>
          <cell r="G134">
            <v>12</v>
          </cell>
          <cell r="H134" t="str">
            <v>Other Health Impairment (OHI)</v>
          </cell>
          <cell r="I134" t="str">
            <v>Y</v>
          </cell>
          <cell r="J134" t="str">
            <v>Other Asian</v>
          </cell>
          <cell r="K134" t="str">
            <v>JCS - EAST VALLEY JUV COURT SCHOOL</v>
          </cell>
          <cell r="L134" t="str">
            <v>Yes</v>
          </cell>
          <cell r="M134"/>
        </row>
        <row r="135">
          <cell r="D135">
            <v>9254373851</v>
          </cell>
          <cell r="E135" t="str">
            <v>09/25/2008</v>
          </cell>
          <cell r="F135" t="str">
            <v>M</v>
          </cell>
          <cell r="G135">
            <v>11</v>
          </cell>
          <cell r="H135" t="str">
            <v>Multiple Disability (MD)</v>
          </cell>
          <cell r="I135" t="str">
            <v>Y</v>
          </cell>
          <cell r="J135" t="str">
            <v>White</v>
          </cell>
          <cell r="K135" t="str">
            <v>SE - DM - SULTANA</v>
          </cell>
          <cell r="L135" t="str">
            <v>Yes</v>
          </cell>
          <cell r="M135"/>
        </row>
        <row r="136">
          <cell r="D136">
            <v>6476329642</v>
          </cell>
          <cell r="E136" t="str">
            <v>10/10/2010</v>
          </cell>
          <cell r="F136" t="str">
            <v>M</v>
          </cell>
          <cell r="G136">
            <v>9</v>
          </cell>
          <cell r="H136" t="str">
            <v>Multiple Disability (MD)</v>
          </cell>
          <cell r="I136" t="str">
            <v>N</v>
          </cell>
          <cell r="J136" t="str">
            <v>Other Asian</v>
          </cell>
          <cell r="K136" t="str">
            <v>SE - WE - COLONY HS</v>
          </cell>
          <cell r="L136" t="str">
            <v>Yes</v>
          </cell>
          <cell r="M136"/>
        </row>
        <row r="137">
          <cell r="D137">
            <v>4584105202</v>
          </cell>
          <cell r="E137" t="str">
            <v>01/02/2009</v>
          </cell>
          <cell r="F137" t="str">
            <v>F</v>
          </cell>
          <cell r="G137">
            <v>11</v>
          </cell>
          <cell r="H137" t="str">
            <v>Emotional Disturbance (ED)</v>
          </cell>
          <cell r="I137" t="str">
            <v>N</v>
          </cell>
          <cell r="J137" t="str">
            <v>Chinese</v>
          </cell>
          <cell r="K137" t="str">
            <v>SE - WE - GIBSON HS</v>
          </cell>
          <cell r="L137" t="str">
            <v>Yes</v>
          </cell>
          <cell r="M137"/>
        </row>
        <row r="138">
          <cell r="D138">
            <v>3653860318</v>
          </cell>
          <cell r="E138" t="str">
            <v>06/29/2010</v>
          </cell>
          <cell r="F138" t="str">
            <v>M</v>
          </cell>
          <cell r="G138">
            <v>10</v>
          </cell>
          <cell r="H138" t="str">
            <v>Other Health Impairment (OHI)</v>
          </cell>
          <cell r="I138" t="str">
            <v>N</v>
          </cell>
          <cell r="J138" t="str">
            <v>White</v>
          </cell>
          <cell r="K138" t="str">
            <v>CS - CHAFFEY WEST CS</v>
          </cell>
          <cell r="L138" t="str">
            <v>Yes</v>
          </cell>
          <cell r="M138"/>
        </row>
        <row r="139">
          <cell r="D139">
            <v>7166006008</v>
          </cell>
          <cell r="E139" t="str">
            <v>06/30/2007</v>
          </cell>
          <cell r="F139" t="str">
            <v>M</v>
          </cell>
          <cell r="G139">
            <v>12</v>
          </cell>
          <cell r="H139" t="str">
            <v>Intellectual Disability (ID)</v>
          </cell>
          <cell r="I139" t="str">
            <v>Y</v>
          </cell>
          <cell r="J139" t="str">
            <v>American Indian or Alaskan Native</v>
          </cell>
          <cell r="K139" t="str">
            <v>SE - WE - UPLAND HS</v>
          </cell>
          <cell r="L139" t="str">
            <v>Yes</v>
          </cell>
          <cell r="M139"/>
        </row>
        <row r="140">
          <cell r="D140">
            <v>6348330270</v>
          </cell>
          <cell r="E140" t="str">
            <v>01/26/2011</v>
          </cell>
          <cell r="F140" t="str">
            <v>M</v>
          </cell>
          <cell r="G140">
            <v>9</v>
          </cell>
          <cell r="H140" t="str">
            <v>Autism (AUT)</v>
          </cell>
          <cell r="I140" t="str">
            <v>Y</v>
          </cell>
          <cell r="J140" t="str">
            <v>White</v>
          </cell>
          <cell r="K140" t="str">
            <v>SE - DM - COBALT IMS</v>
          </cell>
          <cell r="L140" t="str">
            <v>Yes</v>
          </cell>
          <cell r="M140"/>
        </row>
        <row r="141">
          <cell r="D141">
            <v>1407660748</v>
          </cell>
          <cell r="E141" t="str">
            <v>05/21/2005</v>
          </cell>
          <cell r="F141" t="str">
            <v>M</v>
          </cell>
          <cell r="G141">
            <v>12</v>
          </cell>
          <cell r="H141" t="str">
            <v>Intellectual Disability (ID)</v>
          </cell>
          <cell r="I141" t="str">
            <v>Y</v>
          </cell>
          <cell r="J141" t="str">
            <v>White</v>
          </cell>
          <cell r="K141" t="str">
            <v>SE - DM - VICTOR VALLEY SR</v>
          </cell>
          <cell r="L141" t="str">
            <v>Yes</v>
          </cell>
          <cell r="M141"/>
        </row>
        <row r="142">
          <cell r="D142">
            <v>3466785104</v>
          </cell>
          <cell r="E142" t="str">
            <v>06/12/2011</v>
          </cell>
          <cell r="F142" t="str">
            <v>M</v>
          </cell>
          <cell r="G142">
            <v>9</v>
          </cell>
          <cell r="H142" t="str">
            <v>Multiple Disability (MD)</v>
          </cell>
          <cell r="I142" t="str">
            <v>Y</v>
          </cell>
          <cell r="J142" t="str">
            <v>American Indian or Alaskan Native</v>
          </cell>
          <cell r="K142" t="str">
            <v>SE - WE - COLONY HS</v>
          </cell>
          <cell r="L142" t="str">
            <v>Yes</v>
          </cell>
          <cell r="M142"/>
        </row>
        <row r="143">
          <cell r="D143">
            <v>3626585752</v>
          </cell>
          <cell r="E143" t="str">
            <v>01/16/2009</v>
          </cell>
          <cell r="F143" t="str">
            <v>M</v>
          </cell>
          <cell r="G143">
            <v>11</v>
          </cell>
          <cell r="H143" t="str">
            <v>Specific Learning Disability (SLD)</v>
          </cell>
          <cell r="I143" t="str">
            <v>N</v>
          </cell>
          <cell r="J143" t="str">
            <v>Laotian</v>
          </cell>
          <cell r="K143" t="str">
            <v>CS - BARBARA PHELPS CS</v>
          </cell>
          <cell r="L143" t="str">
            <v>Yes</v>
          </cell>
          <cell r="M143"/>
        </row>
        <row r="144">
          <cell r="D144">
            <v>5381683187</v>
          </cell>
          <cell r="E144" t="str">
            <v>02/04/2025</v>
          </cell>
          <cell r="F144" t="str">
            <v>F</v>
          </cell>
          <cell r="G144">
            <v>16</v>
          </cell>
          <cell r="H144" t="str">
            <v>Hard of Hearing (HH)</v>
          </cell>
          <cell r="I144" t="str">
            <v>N</v>
          </cell>
          <cell r="J144" t="str">
            <v>Chinese</v>
          </cell>
          <cell r="K144" t="str">
            <v>SE - WE - EARLY START</v>
          </cell>
          <cell r="L144" t="str">
            <v>Yes</v>
          </cell>
          <cell r="M144"/>
        </row>
        <row r="145">
          <cell r="D145">
            <v>4725239106</v>
          </cell>
          <cell r="E145" t="str">
            <v>02/05/2011</v>
          </cell>
          <cell r="F145" t="str">
            <v>M</v>
          </cell>
          <cell r="G145">
            <v>9</v>
          </cell>
          <cell r="H145" t="str">
            <v>Intellectual Disability (ID)</v>
          </cell>
          <cell r="I145" t="str">
            <v>Y</v>
          </cell>
          <cell r="J145" t="str">
            <v>White</v>
          </cell>
          <cell r="K145" t="str">
            <v>SE - DM - SULTANA</v>
          </cell>
          <cell r="L145" t="str">
            <v>Yes</v>
          </cell>
          <cell r="M145"/>
        </row>
        <row r="146">
          <cell r="D146">
            <v>8177236356</v>
          </cell>
          <cell r="E146" t="str">
            <v>09/03/2005</v>
          </cell>
          <cell r="F146" t="str">
            <v>M</v>
          </cell>
          <cell r="G146">
            <v>12</v>
          </cell>
          <cell r="H146" t="str">
            <v>Autism (AUT)</v>
          </cell>
          <cell r="I146" t="str">
            <v>N</v>
          </cell>
          <cell r="J146" t="str">
            <v>White</v>
          </cell>
          <cell r="K146" t="str">
            <v>SE - DM - HESPERIA SR</v>
          </cell>
          <cell r="L146" t="str">
            <v>Yes</v>
          </cell>
          <cell r="M146"/>
        </row>
        <row r="147">
          <cell r="D147">
            <v>3188426117</v>
          </cell>
          <cell r="E147" t="str">
            <v>01/10/2006</v>
          </cell>
          <cell r="F147" t="str">
            <v>F</v>
          </cell>
          <cell r="G147">
            <v>12</v>
          </cell>
          <cell r="H147" t="str">
            <v>Multiple Disability (MD)</v>
          </cell>
          <cell r="I147" t="str">
            <v>N</v>
          </cell>
          <cell r="J147" t="str">
            <v>White</v>
          </cell>
          <cell r="K147" t="str">
            <v>SE - WE - LOS OSOS HS</v>
          </cell>
          <cell r="L147" t="str">
            <v>Yes</v>
          </cell>
          <cell r="M147"/>
        </row>
        <row r="148">
          <cell r="D148">
            <v>1186314243</v>
          </cell>
          <cell r="E148" t="str">
            <v>10/23/2004</v>
          </cell>
          <cell r="F148" t="str">
            <v>F</v>
          </cell>
          <cell r="G148">
            <v>12</v>
          </cell>
          <cell r="H148" t="str">
            <v>Multiple Disability (MD)</v>
          </cell>
          <cell r="I148" t="str">
            <v>N</v>
          </cell>
          <cell r="J148" t="str">
            <v>Black or African American</v>
          </cell>
          <cell r="K148" t="str">
            <v>SE - DM - SULTANA</v>
          </cell>
          <cell r="L148" t="str">
            <v>Yes</v>
          </cell>
          <cell r="M148"/>
        </row>
        <row r="149">
          <cell r="D149">
            <v>8298008201</v>
          </cell>
          <cell r="E149" t="str">
            <v>04/24/2010</v>
          </cell>
          <cell r="F149" t="str">
            <v>M</v>
          </cell>
          <cell r="G149">
            <v>10</v>
          </cell>
          <cell r="H149" t="str">
            <v>Other Health Impairment (OHI)</v>
          </cell>
          <cell r="I149" t="str">
            <v>N</v>
          </cell>
          <cell r="J149" t="str">
            <v>Black or African American</v>
          </cell>
          <cell r="K149" t="str">
            <v>CS - TRI CITY CS</v>
          </cell>
          <cell r="L149" t="str">
            <v>Yes</v>
          </cell>
          <cell r="M149"/>
        </row>
        <row r="150">
          <cell r="D150">
            <v>8949057243</v>
          </cell>
          <cell r="E150" t="str">
            <v>04/24/2010</v>
          </cell>
          <cell r="F150" t="str">
            <v>M</v>
          </cell>
          <cell r="G150">
            <v>10</v>
          </cell>
          <cell r="H150" t="str">
            <v>Emotional Disturbance (ED)</v>
          </cell>
          <cell r="I150" t="str">
            <v>N</v>
          </cell>
          <cell r="J150" t="str">
            <v>Black or African American</v>
          </cell>
          <cell r="K150" t="str">
            <v>CS - TRI CITY CS</v>
          </cell>
          <cell r="L150" t="str">
            <v>Yes</v>
          </cell>
          <cell r="M150"/>
        </row>
        <row r="151">
          <cell r="D151">
            <v>8498890135</v>
          </cell>
          <cell r="E151" t="str">
            <v>01/20/2010</v>
          </cell>
          <cell r="F151" t="str">
            <v>M</v>
          </cell>
          <cell r="G151">
            <v>10</v>
          </cell>
          <cell r="H151" t="str">
            <v>Autism (AUT)</v>
          </cell>
          <cell r="I151" t="str">
            <v>N</v>
          </cell>
          <cell r="J151" t="str">
            <v>Black or African American</v>
          </cell>
          <cell r="K151" t="str">
            <v>SE - DM - VICTOR VALLEY SR</v>
          </cell>
          <cell r="L151" t="str">
            <v>Yes</v>
          </cell>
          <cell r="M151"/>
        </row>
        <row r="152">
          <cell r="D152">
            <v>1770692578</v>
          </cell>
          <cell r="E152" t="str">
            <v>01/17/2024</v>
          </cell>
          <cell r="F152" t="str">
            <v>M</v>
          </cell>
          <cell r="G152">
            <v>16</v>
          </cell>
          <cell r="H152" t="str">
            <v>Hard of Hearing (HH)</v>
          </cell>
          <cell r="I152" t="str">
            <v>Y</v>
          </cell>
          <cell r="J152" t="str">
            <v>White</v>
          </cell>
          <cell r="K152" t="str">
            <v>SE - DM - EARLY START</v>
          </cell>
          <cell r="L152" t="str">
            <v>Yes</v>
          </cell>
          <cell r="M152"/>
        </row>
        <row r="153">
          <cell r="D153">
            <v>2689866944</v>
          </cell>
          <cell r="E153" t="str">
            <v>09/04/2007</v>
          </cell>
          <cell r="F153" t="str">
            <v>M</v>
          </cell>
          <cell r="G153">
            <v>12</v>
          </cell>
          <cell r="H153" t="str">
            <v>Other Health Impairment (OHI)</v>
          </cell>
          <cell r="I153" t="str">
            <v>Y</v>
          </cell>
          <cell r="J153" t="str">
            <v>White</v>
          </cell>
          <cell r="K153" t="str">
            <v>JCS - EAST VALLEY JUV COURT SCHOOL</v>
          </cell>
          <cell r="L153" t="str">
            <v>Yes</v>
          </cell>
          <cell r="M153"/>
        </row>
        <row r="154">
          <cell r="D154">
            <v>5013878670</v>
          </cell>
          <cell r="E154" t="str">
            <v>01/12/2009</v>
          </cell>
          <cell r="F154" t="str">
            <v>M</v>
          </cell>
          <cell r="G154">
            <v>11</v>
          </cell>
          <cell r="H154" t="str">
            <v>Other Health Impairment (OHI)</v>
          </cell>
          <cell r="I154" t="str">
            <v>Y</v>
          </cell>
          <cell r="J154" t="str">
            <v>White</v>
          </cell>
          <cell r="K154" t="str">
            <v>CS - CHAFFEY WEST CS</v>
          </cell>
          <cell r="L154" t="str">
            <v>Yes</v>
          </cell>
          <cell r="M154"/>
        </row>
        <row r="155">
          <cell r="D155">
            <v>7009020360</v>
          </cell>
          <cell r="E155" t="str">
            <v>07/24/2024</v>
          </cell>
          <cell r="F155" t="str">
            <v>M</v>
          </cell>
          <cell r="G155">
            <v>16</v>
          </cell>
          <cell r="H155" t="str">
            <v>Hard of Hearing (HH)</v>
          </cell>
          <cell r="I155" t="str">
            <v>Y</v>
          </cell>
          <cell r="J155" t="str">
            <v>White</v>
          </cell>
          <cell r="K155" t="str">
            <v>SE - EV - EARLY START</v>
          </cell>
          <cell r="L155" t="str">
            <v>Yes</v>
          </cell>
          <cell r="M155"/>
        </row>
        <row r="156">
          <cell r="D156">
            <v>5133560657</v>
          </cell>
          <cell r="E156" t="str">
            <v>12/11/2006</v>
          </cell>
          <cell r="F156" t="str">
            <v>F</v>
          </cell>
          <cell r="G156">
            <v>12</v>
          </cell>
          <cell r="H156" t="str">
            <v>Intellectual Disability (ID)</v>
          </cell>
          <cell r="I156" t="str">
            <v>Y</v>
          </cell>
          <cell r="J156" t="str">
            <v>White</v>
          </cell>
          <cell r="K156" t="str">
            <v>SE - DM - SERRANO</v>
          </cell>
          <cell r="L156" t="str">
            <v>Yes</v>
          </cell>
          <cell r="M156"/>
        </row>
        <row r="157">
          <cell r="D157">
            <v>6541120383</v>
          </cell>
          <cell r="E157" t="str">
            <v>08/01/2025</v>
          </cell>
          <cell r="F157" t="str">
            <v>F</v>
          </cell>
          <cell r="G157">
            <v>16</v>
          </cell>
          <cell r="H157" t="str">
            <v>Other Health Impairment (OHI)</v>
          </cell>
          <cell r="I157" t="str">
            <v>Y</v>
          </cell>
          <cell r="J157" t="str">
            <v>White</v>
          </cell>
          <cell r="K157" t="str">
            <v>SE - EV - EARLY START</v>
          </cell>
          <cell r="L157" t="str">
            <v>Yes</v>
          </cell>
          <cell r="M157"/>
        </row>
        <row r="158">
          <cell r="D158">
            <v>1015133951</v>
          </cell>
          <cell r="E158" t="str">
            <v>08/03/2008</v>
          </cell>
          <cell r="F158" t="str">
            <v>M</v>
          </cell>
          <cell r="G158">
            <v>12</v>
          </cell>
          <cell r="H158" t="str">
            <v>Orthopedic Impairment (OI)</v>
          </cell>
          <cell r="I158" t="str">
            <v>Y</v>
          </cell>
          <cell r="J158" t="str">
            <v>Black or African American</v>
          </cell>
          <cell r="K158" t="str">
            <v>SE - DM - OAK HILLS HS</v>
          </cell>
          <cell r="L158" t="str">
            <v>Yes</v>
          </cell>
          <cell r="M158"/>
        </row>
        <row r="159">
          <cell r="D159">
            <v>8262419760</v>
          </cell>
          <cell r="E159" t="str">
            <v>10/14/2007</v>
          </cell>
          <cell r="F159" t="str">
            <v>M</v>
          </cell>
          <cell r="G159">
            <v>12</v>
          </cell>
          <cell r="H159" t="str">
            <v>Specific Learning Disability (SLD)</v>
          </cell>
          <cell r="I159" t="str">
            <v>Y</v>
          </cell>
          <cell r="J159" t="str">
            <v>Declined to state/Unknown</v>
          </cell>
          <cell r="K159" t="str">
            <v>JCS - EAST VALLEY JUV COURT SCHOOL</v>
          </cell>
          <cell r="L159" t="str">
            <v>Yes</v>
          </cell>
          <cell r="M159"/>
        </row>
        <row r="160">
          <cell r="D160">
            <v>8301983523</v>
          </cell>
          <cell r="E160" t="str">
            <v>07/29/2010</v>
          </cell>
          <cell r="F160" t="str">
            <v>M</v>
          </cell>
          <cell r="G160">
            <v>10</v>
          </cell>
          <cell r="H160" t="str">
            <v>Autism (AUT)</v>
          </cell>
          <cell r="I160" t="str">
            <v>Y</v>
          </cell>
          <cell r="J160" t="str">
            <v>Declined to state/Unknown</v>
          </cell>
          <cell r="K160" t="str">
            <v>SE - DM - SULTANA</v>
          </cell>
          <cell r="L160" t="str">
            <v>Yes</v>
          </cell>
          <cell r="M160"/>
        </row>
        <row r="161">
          <cell r="D161">
            <v>2385669183</v>
          </cell>
          <cell r="E161" t="str">
            <v>03/14/2007</v>
          </cell>
          <cell r="F161" t="str">
            <v>M</v>
          </cell>
          <cell r="G161">
            <v>12</v>
          </cell>
          <cell r="H161" t="str">
            <v>Autism (AUT)</v>
          </cell>
          <cell r="I161" t="str">
            <v>Y</v>
          </cell>
          <cell r="J161" t="str">
            <v>White</v>
          </cell>
          <cell r="K161" t="str">
            <v>SE - EV - COLTON HS</v>
          </cell>
          <cell r="L161" t="str">
            <v>Yes</v>
          </cell>
          <cell r="M161"/>
        </row>
        <row r="162">
          <cell r="D162">
            <v>9775183522</v>
          </cell>
          <cell r="E162" t="str">
            <v>10/26/2004</v>
          </cell>
          <cell r="F162" t="str">
            <v>M</v>
          </cell>
          <cell r="G162">
            <v>12</v>
          </cell>
          <cell r="H162" t="str">
            <v>Autism (AUT)</v>
          </cell>
          <cell r="I162" t="str">
            <v>Y</v>
          </cell>
          <cell r="J162" t="str">
            <v>American Indian or Alaskan Native</v>
          </cell>
          <cell r="K162" t="str">
            <v>SE - DM - VICTOR VALLEY SR</v>
          </cell>
          <cell r="L162" t="str">
            <v>Yes</v>
          </cell>
          <cell r="M162"/>
        </row>
        <row r="163">
          <cell r="D163">
            <v>7295429902</v>
          </cell>
          <cell r="E163" t="str">
            <v>01/04/2025</v>
          </cell>
          <cell r="F163" t="str">
            <v>M</v>
          </cell>
          <cell r="G163">
            <v>16</v>
          </cell>
          <cell r="H163" t="str">
            <v>Deafness (DEAF)/Hearing Impairment (HI)</v>
          </cell>
          <cell r="I163" t="str">
            <v>Y</v>
          </cell>
          <cell r="J163" t="str">
            <v>White</v>
          </cell>
          <cell r="K163" t="str">
            <v>SE - EV - EARLY START</v>
          </cell>
          <cell r="L163" t="str">
            <v>Yes</v>
          </cell>
          <cell r="M163"/>
        </row>
        <row r="164">
          <cell r="D164">
            <v>1980899763</v>
          </cell>
          <cell r="E164" t="str">
            <v>09/04/2024</v>
          </cell>
          <cell r="F164" t="str">
            <v>M</v>
          </cell>
          <cell r="G164">
            <v>16</v>
          </cell>
          <cell r="H164" t="str">
            <v>Other Health Impairment (OHI)</v>
          </cell>
          <cell r="I164" t="str">
            <v>Y</v>
          </cell>
          <cell r="J164" t="str">
            <v>Laotian</v>
          </cell>
          <cell r="K164" t="str">
            <v>SE - WE - EARLY START</v>
          </cell>
          <cell r="L164" t="str">
            <v>Yes</v>
          </cell>
          <cell r="M164"/>
        </row>
        <row r="165">
          <cell r="D165">
            <v>6175245497</v>
          </cell>
          <cell r="E165" t="str">
            <v>11/10/2007</v>
          </cell>
          <cell r="F165" t="str">
            <v>M</v>
          </cell>
          <cell r="G165">
            <v>12</v>
          </cell>
          <cell r="H165" t="str">
            <v>Intellectual Disability (ID)</v>
          </cell>
          <cell r="I165" t="str">
            <v>N</v>
          </cell>
          <cell r="J165" t="str">
            <v>White</v>
          </cell>
          <cell r="K165" t="str">
            <v>SE - DM - OAK HILLS HS</v>
          </cell>
          <cell r="L165" t="str">
            <v>Yes</v>
          </cell>
          <cell r="M165"/>
        </row>
        <row r="166">
          <cell r="D166">
            <v>7183083317</v>
          </cell>
          <cell r="E166" t="str">
            <v>11/29/2008</v>
          </cell>
          <cell r="F166" t="str">
            <v>M</v>
          </cell>
          <cell r="G166">
            <v>11</v>
          </cell>
          <cell r="H166" t="str">
            <v>Emotional Disturbance (ED)</v>
          </cell>
          <cell r="I166" t="str">
            <v>N</v>
          </cell>
          <cell r="J166" t="str">
            <v>White</v>
          </cell>
          <cell r="K166" t="str">
            <v>SE - WE - GIBSON HS</v>
          </cell>
          <cell r="L166" t="str">
            <v>Yes</v>
          </cell>
          <cell r="M166"/>
        </row>
        <row r="167">
          <cell r="D167">
            <v>7048288067</v>
          </cell>
          <cell r="E167" t="str">
            <v>08/04/2009</v>
          </cell>
          <cell r="F167" t="str">
            <v>F</v>
          </cell>
          <cell r="G167">
            <v>11</v>
          </cell>
          <cell r="H167" t="str">
            <v>Multiple Disability (MD)</v>
          </cell>
          <cell r="I167" t="str">
            <v>N</v>
          </cell>
          <cell r="J167" t="str">
            <v>White</v>
          </cell>
          <cell r="K167" t="str">
            <v>SE - DM - COBALT IMS</v>
          </cell>
          <cell r="L167" t="str">
            <v>Yes</v>
          </cell>
          <cell r="M167"/>
        </row>
        <row r="168">
          <cell r="D168">
            <v>4097640622</v>
          </cell>
          <cell r="E168" t="str">
            <v>01/14/2025</v>
          </cell>
          <cell r="F168" t="str">
            <v>M</v>
          </cell>
          <cell r="G168">
            <v>16</v>
          </cell>
          <cell r="H168" t="str">
            <v>Hard of Hearing (HH)</v>
          </cell>
          <cell r="I168" t="str">
            <v>N</v>
          </cell>
          <cell r="J168" t="str">
            <v>White</v>
          </cell>
          <cell r="K168" t="str">
            <v>SE - DM - EARLY START</v>
          </cell>
          <cell r="L168" t="str">
            <v>Yes</v>
          </cell>
          <cell r="M168"/>
        </row>
        <row r="169">
          <cell r="D169">
            <v>5408713102</v>
          </cell>
          <cell r="E169" t="str">
            <v>04/15/2009</v>
          </cell>
          <cell r="F169" t="str">
            <v>M</v>
          </cell>
          <cell r="G169">
            <v>11</v>
          </cell>
          <cell r="H169" t="str">
            <v>Specific Learning Disability (SLD)</v>
          </cell>
          <cell r="I169" t="str">
            <v>N</v>
          </cell>
          <cell r="J169" t="str">
            <v>Black or African American</v>
          </cell>
          <cell r="K169" t="str">
            <v>SE - DM - VISION ALT LEARNING ACADEMY</v>
          </cell>
          <cell r="L169" t="str">
            <v>Yes</v>
          </cell>
          <cell r="M169"/>
        </row>
        <row r="170">
          <cell r="D170">
            <v>7504943084</v>
          </cell>
          <cell r="E170" t="str">
            <v>04/09/2008</v>
          </cell>
          <cell r="F170" t="str">
            <v>M</v>
          </cell>
          <cell r="G170">
            <v>12</v>
          </cell>
          <cell r="H170" t="str">
            <v>Specific Learning Disability (SLD)</v>
          </cell>
          <cell r="I170" t="str">
            <v>N</v>
          </cell>
          <cell r="J170" t="str">
            <v>Black or African American</v>
          </cell>
          <cell r="K170" t="str">
            <v>SE - INDEPENDENT STUDY</v>
          </cell>
          <cell r="L170" t="str">
            <v>Yes</v>
          </cell>
          <cell r="M170"/>
        </row>
        <row r="171">
          <cell r="D171">
            <v>6763271106</v>
          </cell>
          <cell r="E171" t="str">
            <v>03/23/2009</v>
          </cell>
          <cell r="F171" t="str">
            <v>F</v>
          </cell>
          <cell r="G171">
            <v>11</v>
          </cell>
          <cell r="H171" t="str">
            <v>Autism (AUT)</v>
          </cell>
          <cell r="I171" t="str">
            <v>Y</v>
          </cell>
          <cell r="J171" t="str">
            <v>Black or African American</v>
          </cell>
          <cell r="K171" t="str">
            <v>SE - DM - SERRANO</v>
          </cell>
          <cell r="L171" t="str">
            <v>Yes</v>
          </cell>
          <cell r="M171"/>
        </row>
        <row r="172">
          <cell r="D172">
            <v>8102406205</v>
          </cell>
          <cell r="E172" t="str">
            <v>05/16/2009</v>
          </cell>
          <cell r="F172" t="str">
            <v>F</v>
          </cell>
          <cell r="G172">
            <v>11</v>
          </cell>
          <cell r="H172" t="str">
            <v>Intellectual Disability (ID)</v>
          </cell>
          <cell r="I172" t="str">
            <v>Y</v>
          </cell>
          <cell r="J172" t="str">
            <v>American Indian or Alaskan Native</v>
          </cell>
          <cell r="K172" t="str">
            <v>SE - EV - COLTON HS 2</v>
          </cell>
          <cell r="L172" t="str">
            <v>Yes</v>
          </cell>
          <cell r="M172"/>
        </row>
        <row r="173">
          <cell r="D173">
            <v>9600811795</v>
          </cell>
          <cell r="E173" t="str">
            <v>08/20/2023</v>
          </cell>
          <cell r="F173" t="str">
            <v>F</v>
          </cell>
          <cell r="G173">
            <v>16</v>
          </cell>
          <cell r="H173" t="str">
            <v>Other Health Impairment (OHI)</v>
          </cell>
          <cell r="I173" t="str">
            <v>Y</v>
          </cell>
          <cell r="J173" t="str">
            <v>American Indian or Alaskan Native</v>
          </cell>
          <cell r="K173" t="str">
            <v>SE - EV - EARLY START</v>
          </cell>
          <cell r="L173" t="str">
            <v>Yes</v>
          </cell>
          <cell r="M173"/>
        </row>
        <row r="174">
          <cell r="D174">
            <v>4212193206</v>
          </cell>
          <cell r="E174" t="str">
            <v>02/11/2009</v>
          </cell>
          <cell r="F174" t="str">
            <v>M</v>
          </cell>
          <cell r="G174">
            <v>11</v>
          </cell>
          <cell r="H174" t="str">
            <v>Specific Learning Disability (SLD)</v>
          </cell>
          <cell r="I174" t="str">
            <v>Y</v>
          </cell>
          <cell r="J174" t="str">
            <v>American Indian or Alaskan Native</v>
          </cell>
          <cell r="K174" t="str">
            <v>JCS - EAST VALLEY JUV COURT SCHOOL</v>
          </cell>
          <cell r="L174" t="str">
            <v>Yes</v>
          </cell>
          <cell r="M174"/>
        </row>
        <row r="175">
          <cell r="D175">
            <v>3774307454</v>
          </cell>
          <cell r="E175" t="str">
            <v>05/25/2023</v>
          </cell>
          <cell r="F175" t="str">
            <v>F</v>
          </cell>
          <cell r="G175">
            <v>16</v>
          </cell>
          <cell r="H175" t="str">
            <v>Speech or Language Impairment (SLI)</v>
          </cell>
          <cell r="I175" t="str">
            <v>Y</v>
          </cell>
          <cell r="J175" t="str">
            <v>White</v>
          </cell>
          <cell r="K175" t="str">
            <v>SE - EV - EARLY START</v>
          </cell>
          <cell r="L175" t="str">
            <v>Yes</v>
          </cell>
          <cell r="M175"/>
        </row>
        <row r="176">
          <cell r="D176">
            <v>7724426297</v>
          </cell>
          <cell r="E176" t="str">
            <v>06/11/2007</v>
          </cell>
          <cell r="F176" t="str">
            <v>M</v>
          </cell>
          <cell r="G176">
            <v>12</v>
          </cell>
          <cell r="H176" t="str">
            <v>Multiple Disability (MD)</v>
          </cell>
          <cell r="I176" t="str">
            <v>N</v>
          </cell>
          <cell r="J176" t="str">
            <v>Filipino</v>
          </cell>
          <cell r="K176" t="str">
            <v>SE - WE - LOS OSOS HS</v>
          </cell>
          <cell r="L176" t="str">
            <v>Yes</v>
          </cell>
          <cell r="M176"/>
        </row>
        <row r="177">
          <cell r="D177">
            <v>1882878862</v>
          </cell>
          <cell r="E177" t="str">
            <v>07/08/2024</v>
          </cell>
          <cell r="F177" t="str">
            <v>M</v>
          </cell>
          <cell r="G177">
            <v>16</v>
          </cell>
          <cell r="H177" t="str">
            <v>Other Health Impairment (OHI)</v>
          </cell>
          <cell r="I177" t="str">
            <v>Y</v>
          </cell>
          <cell r="J177" t="str">
            <v>White</v>
          </cell>
          <cell r="K177" t="str">
            <v>SE - WE - EARLY START</v>
          </cell>
          <cell r="L177" t="str">
            <v>Yes</v>
          </cell>
          <cell r="M177"/>
        </row>
        <row r="178">
          <cell r="D178">
            <v>2919118566</v>
          </cell>
          <cell r="E178" t="str">
            <v>11/18/2007</v>
          </cell>
          <cell r="F178" t="str">
            <v>M</v>
          </cell>
          <cell r="G178">
            <v>12</v>
          </cell>
          <cell r="H178" t="str">
            <v>Autism (AUT)</v>
          </cell>
          <cell r="I178" t="str">
            <v>Y</v>
          </cell>
          <cell r="J178" t="str">
            <v>White</v>
          </cell>
          <cell r="K178" t="str">
            <v>SE - DM - GRANITE HILL</v>
          </cell>
          <cell r="L178" t="str">
            <v>Yes</v>
          </cell>
          <cell r="M178"/>
        </row>
        <row r="179">
          <cell r="D179">
            <v>7561616501</v>
          </cell>
          <cell r="E179" t="str">
            <v>01/06/2009</v>
          </cell>
          <cell r="F179" t="str">
            <v>M</v>
          </cell>
          <cell r="G179">
            <v>11</v>
          </cell>
          <cell r="H179" t="str">
            <v>Emotional Disturbance (ED)</v>
          </cell>
          <cell r="I179" t="str">
            <v>Y</v>
          </cell>
          <cell r="J179" t="str">
            <v>White</v>
          </cell>
          <cell r="K179" t="str">
            <v>SE - DM - VISION ALT LEARNING ACADEMY</v>
          </cell>
          <cell r="L179" t="str">
            <v>Yes</v>
          </cell>
          <cell r="M179"/>
        </row>
        <row r="180">
          <cell r="D180">
            <v>7295615043</v>
          </cell>
          <cell r="E180" t="str">
            <v>04/01/2010</v>
          </cell>
          <cell r="F180" t="str">
            <v>M</v>
          </cell>
          <cell r="G180">
            <v>10</v>
          </cell>
          <cell r="H180" t="str">
            <v>Emotional Disturbance (ED)</v>
          </cell>
          <cell r="I180" t="str">
            <v>N</v>
          </cell>
          <cell r="J180" t="str">
            <v>Black or African American</v>
          </cell>
          <cell r="K180" t="str">
            <v>JCS - EAST VALLEY JUV COURT SCHOOL</v>
          </cell>
          <cell r="L180" t="str">
            <v>Yes</v>
          </cell>
          <cell r="M180"/>
        </row>
        <row r="181">
          <cell r="D181">
            <v>7363599131</v>
          </cell>
          <cell r="E181" t="str">
            <v>06/13/2025</v>
          </cell>
          <cell r="F181" t="str">
            <v>M</v>
          </cell>
          <cell r="G181">
            <v>16</v>
          </cell>
          <cell r="H181" t="str">
            <v>Deafness (DEAF)/Hearing Impairment (HI)</v>
          </cell>
          <cell r="I181" t="str">
            <v>N</v>
          </cell>
          <cell r="J181" t="str">
            <v>Vietnamese</v>
          </cell>
          <cell r="K181" t="str">
            <v>SE - WE - EARLY START</v>
          </cell>
          <cell r="L181" t="str">
            <v>Yes</v>
          </cell>
          <cell r="M181"/>
        </row>
        <row r="182">
          <cell r="D182">
            <v>7583260206</v>
          </cell>
          <cell r="E182" t="str">
            <v>08/04/2011</v>
          </cell>
          <cell r="F182" t="str">
            <v>M</v>
          </cell>
          <cell r="G182">
            <v>9</v>
          </cell>
          <cell r="H182" t="str">
            <v>Emotional Disturbance (ED)</v>
          </cell>
          <cell r="I182" t="str">
            <v>N</v>
          </cell>
          <cell r="J182" t="str">
            <v>Black or African American</v>
          </cell>
          <cell r="K182" t="str">
            <v>CS - BOB MURPHY CS</v>
          </cell>
          <cell r="L182" t="str">
            <v>Yes</v>
          </cell>
          <cell r="M182"/>
        </row>
        <row r="183">
          <cell r="D183">
            <v>1131212542</v>
          </cell>
          <cell r="E183" t="str">
            <v>07/01/2011</v>
          </cell>
          <cell r="F183" t="str">
            <v>M</v>
          </cell>
          <cell r="G183">
            <v>9</v>
          </cell>
          <cell r="H183" t="str">
            <v>Intellectual Disability (ID)</v>
          </cell>
          <cell r="I183" t="str">
            <v>Y</v>
          </cell>
          <cell r="J183" t="str">
            <v>White</v>
          </cell>
          <cell r="K183" t="str">
            <v>SE - DM - COBALT IMS</v>
          </cell>
          <cell r="L183" t="str">
            <v>Yes</v>
          </cell>
          <cell r="M183"/>
        </row>
        <row r="184">
          <cell r="D184">
            <v>6118941857</v>
          </cell>
          <cell r="E184" t="str">
            <v>06/02/2004</v>
          </cell>
          <cell r="F184" t="str">
            <v>F</v>
          </cell>
          <cell r="G184">
            <v>12</v>
          </cell>
          <cell r="H184" t="str">
            <v>Multiple Disability (MD)</v>
          </cell>
          <cell r="I184" t="str">
            <v>N</v>
          </cell>
          <cell r="J184" t="str">
            <v>Declined to state/Unknown</v>
          </cell>
          <cell r="K184" t="str">
            <v>SE - DM - SULTANA</v>
          </cell>
          <cell r="L184" t="str">
            <v>Yes</v>
          </cell>
          <cell r="M184"/>
        </row>
        <row r="185">
          <cell r="D185">
            <v>4431388948</v>
          </cell>
          <cell r="E185" t="str">
            <v>12/24/2006</v>
          </cell>
          <cell r="F185" t="str">
            <v>M</v>
          </cell>
          <cell r="G185">
            <v>12</v>
          </cell>
          <cell r="H185" t="str">
            <v>Multiple Disability (MD)</v>
          </cell>
          <cell r="I185" t="str">
            <v>Y</v>
          </cell>
          <cell r="J185" t="str">
            <v>White</v>
          </cell>
          <cell r="K185" t="str">
            <v>SE - DM - SULTANA</v>
          </cell>
          <cell r="L185" t="str">
            <v>Yes</v>
          </cell>
          <cell r="M185"/>
        </row>
        <row r="186">
          <cell r="D186">
            <v>8291731948</v>
          </cell>
          <cell r="E186" t="str">
            <v>05/14/2010</v>
          </cell>
          <cell r="F186" t="str">
            <v>F</v>
          </cell>
          <cell r="G186">
            <v>10</v>
          </cell>
          <cell r="H186" t="str">
            <v>Autism (AUT)</v>
          </cell>
          <cell r="I186" t="str">
            <v>Y</v>
          </cell>
          <cell r="J186" t="str">
            <v>White</v>
          </cell>
          <cell r="K186" t="str">
            <v>SE - DM - SERRANO</v>
          </cell>
          <cell r="L186" t="str">
            <v>Yes</v>
          </cell>
          <cell r="M186"/>
        </row>
        <row r="187">
          <cell r="D187">
            <v>7308075903</v>
          </cell>
          <cell r="E187" t="str">
            <v>11/20/2007</v>
          </cell>
          <cell r="F187" t="str">
            <v>F</v>
          </cell>
          <cell r="G187">
            <v>12</v>
          </cell>
          <cell r="H187" t="str">
            <v>Autism (AUT)</v>
          </cell>
          <cell r="I187" t="str">
            <v>Y</v>
          </cell>
          <cell r="J187" t="str">
            <v>White</v>
          </cell>
          <cell r="K187" t="str">
            <v>SE - DM - SERRANO</v>
          </cell>
          <cell r="L187" t="str">
            <v>Yes</v>
          </cell>
          <cell r="M187"/>
        </row>
        <row r="188">
          <cell r="D188">
            <v>5376878987</v>
          </cell>
          <cell r="E188" t="str">
            <v>07/15/2009</v>
          </cell>
          <cell r="F188" t="str">
            <v>M</v>
          </cell>
          <cell r="G188">
            <v>11</v>
          </cell>
          <cell r="H188" t="str">
            <v>Autism (AUT)</v>
          </cell>
          <cell r="I188" t="str">
            <v>N</v>
          </cell>
          <cell r="J188" t="str">
            <v>White</v>
          </cell>
          <cell r="K188" t="str">
            <v>SE - DM - GRANITE HILL</v>
          </cell>
          <cell r="L188" t="str">
            <v>Yes</v>
          </cell>
          <cell r="M188"/>
        </row>
        <row r="189">
          <cell r="D189">
            <v>9487802597</v>
          </cell>
          <cell r="E189" t="str">
            <v>06/02/2004</v>
          </cell>
          <cell r="F189" t="str">
            <v>M</v>
          </cell>
          <cell r="G189">
            <v>12</v>
          </cell>
          <cell r="H189" t="str">
            <v>Autism (AUT)</v>
          </cell>
          <cell r="I189" t="str">
            <v>N</v>
          </cell>
          <cell r="J189" t="str">
            <v>Black or African American</v>
          </cell>
          <cell r="K189" t="str">
            <v>SE - DM - OAK HILLS HS</v>
          </cell>
          <cell r="L189" t="str">
            <v>Yes</v>
          </cell>
          <cell r="M189"/>
        </row>
        <row r="190">
          <cell r="D190">
            <v>8162542348</v>
          </cell>
          <cell r="E190" t="str">
            <v>01/11/2004</v>
          </cell>
          <cell r="F190" t="str">
            <v>M</v>
          </cell>
          <cell r="G190">
            <v>12</v>
          </cell>
          <cell r="H190" t="str">
            <v>Multiple Disability (MD)</v>
          </cell>
          <cell r="I190" t="str">
            <v>N</v>
          </cell>
          <cell r="J190" t="str">
            <v>Black or African American</v>
          </cell>
          <cell r="K190" t="str">
            <v>SE - WE - COLONY HS</v>
          </cell>
          <cell r="L190" t="str">
            <v>Yes</v>
          </cell>
          <cell r="M190"/>
        </row>
        <row r="191">
          <cell r="D191">
            <v>6221449517</v>
          </cell>
          <cell r="E191" t="str">
            <v>04/17/2011</v>
          </cell>
          <cell r="F191" t="str">
            <v>M</v>
          </cell>
          <cell r="G191">
            <v>9</v>
          </cell>
          <cell r="H191" t="str">
            <v>Specific Learning Disability (SLD)</v>
          </cell>
          <cell r="I191" t="str">
            <v>N</v>
          </cell>
          <cell r="J191" t="str">
            <v>Black or African American</v>
          </cell>
          <cell r="K191" t="str">
            <v>CS - BOB MURPHY CS</v>
          </cell>
          <cell r="L191" t="str">
            <v>Yes</v>
          </cell>
          <cell r="M191"/>
        </row>
        <row r="192">
          <cell r="D192">
            <v>9420843701</v>
          </cell>
          <cell r="E192" t="str">
            <v>12/13/2008</v>
          </cell>
          <cell r="F192" t="str">
            <v>M</v>
          </cell>
          <cell r="G192">
            <v>11</v>
          </cell>
          <cell r="H192" t="str">
            <v>Multiple Disability (MD)</v>
          </cell>
          <cell r="I192" t="str">
            <v>Y</v>
          </cell>
          <cell r="J192" t="str">
            <v>White</v>
          </cell>
          <cell r="K192" t="str">
            <v>SE - DM - SERRANO</v>
          </cell>
          <cell r="L192" t="str">
            <v>Yes</v>
          </cell>
          <cell r="M192"/>
        </row>
        <row r="193">
          <cell r="D193">
            <v>7823073870</v>
          </cell>
          <cell r="E193" t="str">
            <v>05/06/2024</v>
          </cell>
          <cell r="F193" t="str">
            <v>F</v>
          </cell>
          <cell r="G193">
            <v>16</v>
          </cell>
          <cell r="H193" t="str">
            <v>Speech or Language Impairment (SLI)</v>
          </cell>
          <cell r="I193" t="str">
            <v>N</v>
          </cell>
          <cell r="J193" t="str">
            <v>White</v>
          </cell>
          <cell r="K193" t="str">
            <v>SE - EV - EARLY START</v>
          </cell>
          <cell r="L193" t="str">
            <v>Yes</v>
          </cell>
          <cell r="M193"/>
        </row>
        <row r="194">
          <cell r="D194">
            <v>7563180857</v>
          </cell>
          <cell r="E194" t="str">
            <v>07/08/2008</v>
          </cell>
          <cell r="F194" t="str">
            <v>M</v>
          </cell>
          <cell r="G194">
            <v>12</v>
          </cell>
          <cell r="H194" t="str">
            <v>Intellectual Disability (ID)</v>
          </cell>
          <cell r="I194" t="str">
            <v>Y</v>
          </cell>
          <cell r="J194" t="str">
            <v>White</v>
          </cell>
          <cell r="K194" t="str">
            <v>SE - WE - UPLAND HS</v>
          </cell>
          <cell r="L194" t="str">
            <v>Yes</v>
          </cell>
          <cell r="M194"/>
        </row>
        <row r="195">
          <cell r="D195">
            <v>6212276201</v>
          </cell>
          <cell r="E195" t="str">
            <v>03/28/2007</v>
          </cell>
          <cell r="F195" t="str">
            <v>M</v>
          </cell>
          <cell r="G195">
            <v>12</v>
          </cell>
          <cell r="H195" t="str">
            <v>Intellectual Disability (ID)</v>
          </cell>
          <cell r="I195" t="str">
            <v>Y</v>
          </cell>
          <cell r="J195" t="str">
            <v>White</v>
          </cell>
          <cell r="K195" t="str">
            <v>SE - DM - SERRANO</v>
          </cell>
          <cell r="L195" t="str">
            <v>Yes</v>
          </cell>
          <cell r="M195"/>
        </row>
        <row r="196">
          <cell r="D196">
            <v>8188328823</v>
          </cell>
          <cell r="E196" t="str">
            <v>12/06/2009</v>
          </cell>
          <cell r="F196" t="str">
            <v>F</v>
          </cell>
          <cell r="G196">
            <v>10</v>
          </cell>
          <cell r="H196" t="str">
            <v>Intellectual Disability (ID)</v>
          </cell>
          <cell r="I196" t="str">
            <v>Y</v>
          </cell>
          <cell r="J196" t="str">
            <v>White</v>
          </cell>
          <cell r="K196" t="str">
            <v>SE - DM - SERRANO</v>
          </cell>
          <cell r="L196" t="str">
            <v>Yes</v>
          </cell>
          <cell r="M196"/>
        </row>
        <row r="197">
          <cell r="D197">
            <v>4190108242</v>
          </cell>
          <cell r="E197" t="str">
            <v>12/14/2006</v>
          </cell>
          <cell r="F197" t="str">
            <v>M</v>
          </cell>
          <cell r="G197">
            <v>12</v>
          </cell>
          <cell r="H197" t="str">
            <v>Specific Learning Disability (SLD)</v>
          </cell>
          <cell r="I197" t="str">
            <v>Y</v>
          </cell>
          <cell r="J197" t="str">
            <v>White</v>
          </cell>
          <cell r="K197" t="str">
            <v>CS - BOB MURPHY CS</v>
          </cell>
          <cell r="L197" t="str">
            <v>Yes</v>
          </cell>
          <cell r="M197"/>
        </row>
        <row r="198">
          <cell r="D198">
            <v>3128181322</v>
          </cell>
          <cell r="E198" t="str">
            <v>01/07/2024</v>
          </cell>
          <cell r="F198" t="str">
            <v>M</v>
          </cell>
          <cell r="G198">
            <v>16</v>
          </cell>
          <cell r="H198" t="str">
            <v>Orthopedic Impairment (OI)</v>
          </cell>
          <cell r="I198" t="str">
            <v>Y</v>
          </cell>
          <cell r="J198" t="str">
            <v>Other Asian</v>
          </cell>
          <cell r="K198" t="str">
            <v>SE - WE - EARLY START</v>
          </cell>
          <cell r="L198" t="str">
            <v>Yes</v>
          </cell>
          <cell r="M198"/>
        </row>
        <row r="199">
          <cell r="D199">
            <v>5638409515</v>
          </cell>
          <cell r="E199" t="str">
            <v>07/22/2023</v>
          </cell>
          <cell r="F199" t="str">
            <v>M</v>
          </cell>
          <cell r="G199">
            <v>16</v>
          </cell>
          <cell r="H199" t="str">
            <v>Hard of Hearing (HH)</v>
          </cell>
          <cell r="I199" t="str">
            <v>Y</v>
          </cell>
          <cell r="J199" t="str">
            <v>White</v>
          </cell>
          <cell r="K199" t="str">
            <v>SE - DM - EARLY START</v>
          </cell>
          <cell r="L199" t="str">
            <v>Yes</v>
          </cell>
          <cell r="M199"/>
        </row>
        <row r="200">
          <cell r="D200">
            <v>5957916480</v>
          </cell>
          <cell r="E200" t="str">
            <v>02/10/2011</v>
          </cell>
          <cell r="F200" t="str">
            <v>M</v>
          </cell>
          <cell r="G200">
            <v>9</v>
          </cell>
          <cell r="H200" t="str">
            <v>Autism (AUT)</v>
          </cell>
          <cell r="I200" t="str">
            <v>Y</v>
          </cell>
          <cell r="J200" t="str">
            <v>White</v>
          </cell>
          <cell r="K200" t="str">
            <v>SE - DM - COBALT IMS</v>
          </cell>
          <cell r="L200" t="str">
            <v>Yes</v>
          </cell>
          <cell r="M200"/>
        </row>
        <row r="201">
          <cell r="D201">
            <v>6230832737</v>
          </cell>
          <cell r="E201" t="str">
            <v>11/30/2024</v>
          </cell>
          <cell r="F201" t="str">
            <v>M</v>
          </cell>
          <cell r="G201">
            <v>16</v>
          </cell>
          <cell r="H201" t="str">
            <v>Other Health Impairment (OHI)</v>
          </cell>
          <cell r="I201" t="str">
            <v>Y</v>
          </cell>
          <cell r="J201" t="str">
            <v>Other Asian</v>
          </cell>
          <cell r="K201" t="str">
            <v>SE - EV - EARLY START</v>
          </cell>
          <cell r="L201" t="str">
            <v>Yes</v>
          </cell>
          <cell r="M201"/>
        </row>
        <row r="202">
          <cell r="D202">
            <v>9904382370</v>
          </cell>
          <cell r="E202" t="str">
            <v>08/25/2011</v>
          </cell>
          <cell r="F202" t="str">
            <v>M</v>
          </cell>
          <cell r="G202">
            <v>9</v>
          </cell>
          <cell r="H202" t="str">
            <v>Autism (AUT)</v>
          </cell>
          <cell r="I202" t="str">
            <v>Y</v>
          </cell>
          <cell r="J202" t="str">
            <v>White</v>
          </cell>
          <cell r="K202" t="str">
            <v>SE - DM - BARSTOW JH</v>
          </cell>
          <cell r="L202" t="str">
            <v>Yes</v>
          </cell>
          <cell r="M202"/>
        </row>
        <row r="203">
          <cell r="D203">
            <v>8708401721</v>
          </cell>
          <cell r="E203" t="str">
            <v>08/23/2007</v>
          </cell>
          <cell r="F203" t="str">
            <v>M</v>
          </cell>
          <cell r="G203">
            <v>12</v>
          </cell>
          <cell r="H203" t="str">
            <v>Intellectual Disability (ID)</v>
          </cell>
          <cell r="I203" t="str">
            <v>Y</v>
          </cell>
          <cell r="J203" t="str">
            <v>Declined to state/Unknown</v>
          </cell>
          <cell r="K203" t="str">
            <v>SE - WE - UPLAND HS</v>
          </cell>
          <cell r="L203" t="str">
            <v>Yes</v>
          </cell>
          <cell r="M203"/>
        </row>
        <row r="204">
          <cell r="D204">
            <v>8615488230</v>
          </cell>
          <cell r="E204" t="str">
            <v>01/10/2011</v>
          </cell>
          <cell r="F204" t="str">
            <v>M</v>
          </cell>
          <cell r="G204">
            <v>9</v>
          </cell>
          <cell r="H204" t="str">
            <v>Multiple Disability (MD)</v>
          </cell>
          <cell r="I204" t="str">
            <v>Y</v>
          </cell>
          <cell r="J204" t="str">
            <v>Declined to state/Unknown</v>
          </cell>
          <cell r="K204" t="str">
            <v>SE - DM - SULTANA</v>
          </cell>
          <cell r="L204" t="str">
            <v>Yes</v>
          </cell>
          <cell r="M204"/>
        </row>
        <row r="205">
          <cell r="D205">
            <v>3626848157</v>
          </cell>
          <cell r="E205" t="str">
            <v>11/16/2023</v>
          </cell>
          <cell r="F205" t="str">
            <v>F</v>
          </cell>
          <cell r="G205">
            <v>16</v>
          </cell>
          <cell r="H205" t="str">
            <v>Speech or Language Impairment (SLI)</v>
          </cell>
          <cell r="I205" t="str">
            <v>N</v>
          </cell>
          <cell r="J205" t="str">
            <v>White</v>
          </cell>
          <cell r="K205" t="str">
            <v>SE - EV - EARLY START</v>
          </cell>
          <cell r="L205" t="str">
            <v>Yes</v>
          </cell>
          <cell r="M205"/>
        </row>
        <row r="206">
          <cell r="D206">
            <v>3743927256</v>
          </cell>
          <cell r="E206" t="str">
            <v>08/15/2025</v>
          </cell>
          <cell r="F206" t="str">
            <v>M</v>
          </cell>
          <cell r="G206">
            <v>16</v>
          </cell>
          <cell r="H206" t="str">
            <v>Hard of Hearing (HH)</v>
          </cell>
          <cell r="I206" t="str">
            <v>Y</v>
          </cell>
          <cell r="J206" t="str">
            <v>White</v>
          </cell>
          <cell r="K206" t="str">
            <v>SE - DM - EARLY START</v>
          </cell>
          <cell r="L206" t="str">
            <v>Yes</v>
          </cell>
          <cell r="M206"/>
        </row>
        <row r="207">
          <cell r="D207">
            <v>2708091718</v>
          </cell>
          <cell r="E207" t="str">
            <v>06/24/2009</v>
          </cell>
          <cell r="F207" t="str">
            <v>M</v>
          </cell>
          <cell r="G207">
            <v>11</v>
          </cell>
          <cell r="H207" t="str">
            <v>Intellectual Disability (ID)</v>
          </cell>
          <cell r="I207" t="str">
            <v>N</v>
          </cell>
          <cell r="J207" t="str">
            <v>White</v>
          </cell>
          <cell r="K207" t="str">
            <v>SE - DM - NEEDLES SR</v>
          </cell>
          <cell r="L207" t="str">
            <v>Yes</v>
          </cell>
          <cell r="M207"/>
        </row>
        <row r="208">
          <cell r="D208">
            <v>4276645964</v>
          </cell>
          <cell r="E208" t="str">
            <v>04/20/2010</v>
          </cell>
          <cell r="F208" t="str">
            <v>M</v>
          </cell>
          <cell r="G208">
            <v>10</v>
          </cell>
          <cell r="H208" t="str">
            <v>Autism (AUT)</v>
          </cell>
          <cell r="I208" t="str">
            <v>Y</v>
          </cell>
          <cell r="J208" t="str">
            <v>White</v>
          </cell>
          <cell r="K208" t="str">
            <v>SE - DM - COBALT IMS</v>
          </cell>
          <cell r="L208" t="str">
            <v>Yes</v>
          </cell>
          <cell r="M208"/>
        </row>
        <row r="209">
          <cell r="D209">
            <v>6586509813</v>
          </cell>
          <cell r="E209" t="str">
            <v>11/09/2024</v>
          </cell>
          <cell r="F209" t="str">
            <v>F</v>
          </cell>
          <cell r="G209">
            <v>16</v>
          </cell>
          <cell r="H209" t="str">
            <v>Other Health Impairment (OHI)</v>
          </cell>
          <cell r="I209" t="str">
            <v>Y</v>
          </cell>
          <cell r="J209" t="str">
            <v>White</v>
          </cell>
          <cell r="K209" t="str">
            <v>SE - EV - EARLY START</v>
          </cell>
          <cell r="L209" t="str">
            <v>Yes</v>
          </cell>
          <cell r="M209"/>
        </row>
        <row r="210">
          <cell r="D210">
            <v>4092135805</v>
          </cell>
          <cell r="E210" t="str">
            <v>08/27/2010</v>
          </cell>
          <cell r="F210" t="str">
            <v>M</v>
          </cell>
          <cell r="G210">
            <v>10</v>
          </cell>
          <cell r="H210" t="str">
            <v>Autism (AUT)</v>
          </cell>
          <cell r="I210" t="str">
            <v>Y</v>
          </cell>
          <cell r="J210" t="str">
            <v>White</v>
          </cell>
          <cell r="K210" t="str">
            <v>SE - WE - ALTA LOMA HS</v>
          </cell>
          <cell r="L210" t="str">
            <v>Yes</v>
          </cell>
          <cell r="M210"/>
        </row>
        <row r="211">
          <cell r="D211">
            <v>5860564086</v>
          </cell>
          <cell r="E211" t="str">
            <v>10/17/2023</v>
          </cell>
          <cell r="F211" t="str">
            <v>F</v>
          </cell>
          <cell r="G211">
            <v>16</v>
          </cell>
          <cell r="H211" t="str">
            <v>Speech or Language Impairment (SLI)</v>
          </cell>
          <cell r="I211" t="str">
            <v>Y</v>
          </cell>
          <cell r="J211" t="str">
            <v>Other Asian</v>
          </cell>
          <cell r="K211" t="str">
            <v>SE - EV - EARLY START</v>
          </cell>
          <cell r="L211" t="str">
            <v>Yes</v>
          </cell>
          <cell r="M211"/>
        </row>
        <row r="212">
          <cell r="D212">
            <v>3172669457</v>
          </cell>
          <cell r="E212" t="str">
            <v>02/15/2005</v>
          </cell>
          <cell r="F212" t="str">
            <v>M</v>
          </cell>
          <cell r="G212">
            <v>12</v>
          </cell>
          <cell r="H212" t="str">
            <v>Multiple Disability (MD)</v>
          </cell>
          <cell r="I212" t="str">
            <v>N</v>
          </cell>
          <cell r="J212" t="str">
            <v>White</v>
          </cell>
          <cell r="K212" t="str">
            <v>SE - WE - LOS OSOS HS</v>
          </cell>
          <cell r="L212" t="str">
            <v>Yes</v>
          </cell>
          <cell r="M212"/>
        </row>
        <row r="213">
          <cell r="D213">
            <v>3186316517</v>
          </cell>
          <cell r="E213" t="str">
            <v>04/11/2005</v>
          </cell>
          <cell r="F213" t="str">
            <v>M</v>
          </cell>
          <cell r="G213">
            <v>12</v>
          </cell>
          <cell r="H213" t="str">
            <v>Autism (AUT)</v>
          </cell>
          <cell r="I213" t="str">
            <v>Y</v>
          </cell>
          <cell r="J213" t="str">
            <v>White</v>
          </cell>
          <cell r="K213" t="str">
            <v>SE - DM - VICTOR VALLEY SR</v>
          </cell>
          <cell r="L213" t="str">
            <v>Yes</v>
          </cell>
          <cell r="M213"/>
        </row>
        <row r="214">
          <cell r="D214">
            <v>8165524421</v>
          </cell>
          <cell r="E214" t="str">
            <v>08/27/2011</v>
          </cell>
          <cell r="F214" t="str">
            <v>F</v>
          </cell>
          <cell r="G214">
            <v>9</v>
          </cell>
          <cell r="H214" t="str">
            <v>Multiple Disability (MD)</v>
          </cell>
          <cell r="I214" t="str">
            <v>Y</v>
          </cell>
          <cell r="J214" t="str">
            <v>White</v>
          </cell>
          <cell r="K214" t="str">
            <v>SE - WE - COLONY HS</v>
          </cell>
          <cell r="L214" t="str">
            <v>Yes</v>
          </cell>
          <cell r="M214"/>
        </row>
        <row r="215">
          <cell r="D215">
            <v>6196915012</v>
          </cell>
          <cell r="E215" t="str">
            <v>02/24/2024</v>
          </cell>
          <cell r="F215" t="str">
            <v>F</v>
          </cell>
          <cell r="G215">
            <v>16</v>
          </cell>
          <cell r="H215" t="str">
            <v>Orthopedic Impairment (OI)</v>
          </cell>
          <cell r="I215" t="str">
            <v>Y</v>
          </cell>
          <cell r="J215" t="str">
            <v>Other Asian</v>
          </cell>
          <cell r="K215" t="str">
            <v>SE - WE - EARLY START</v>
          </cell>
          <cell r="L215" t="str">
            <v>Yes</v>
          </cell>
          <cell r="M215"/>
        </row>
        <row r="216">
          <cell r="D216">
            <v>6795151773</v>
          </cell>
          <cell r="E216" t="str">
            <v>09/26/2009</v>
          </cell>
          <cell r="F216" t="str">
            <v>M</v>
          </cell>
          <cell r="G216">
            <v>10</v>
          </cell>
          <cell r="H216" t="str">
            <v>Other Health Impairment (OHI)</v>
          </cell>
          <cell r="I216" t="str">
            <v>N</v>
          </cell>
          <cell r="J216" t="str">
            <v>Black or African American</v>
          </cell>
          <cell r="K216" t="str">
            <v>SE - DM - VISION ALT LEARNING ACADEMY</v>
          </cell>
          <cell r="L216" t="str">
            <v>Yes</v>
          </cell>
          <cell r="M216"/>
        </row>
        <row r="217">
          <cell r="D217">
            <v>6796109092</v>
          </cell>
          <cell r="E217" t="str">
            <v>06/08/2011</v>
          </cell>
          <cell r="F217" t="str">
            <v>M</v>
          </cell>
          <cell r="G217">
            <v>9</v>
          </cell>
          <cell r="H217" t="str">
            <v>Autism (AUT)</v>
          </cell>
          <cell r="I217" t="str">
            <v>Y</v>
          </cell>
          <cell r="J217" t="str">
            <v>White</v>
          </cell>
          <cell r="K217" t="str">
            <v>SE - DM - SERRANO</v>
          </cell>
          <cell r="L217" t="str">
            <v>Yes</v>
          </cell>
          <cell r="M217"/>
        </row>
        <row r="218">
          <cell r="D218">
            <v>4349163576</v>
          </cell>
          <cell r="E218" t="str">
            <v>12/02/2010</v>
          </cell>
          <cell r="F218" t="str">
            <v>M</v>
          </cell>
          <cell r="G218">
            <v>9</v>
          </cell>
          <cell r="H218" t="str">
            <v>Autism (AUT)</v>
          </cell>
          <cell r="I218" t="str">
            <v>Y</v>
          </cell>
          <cell r="J218" t="str">
            <v>White</v>
          </cell>
          <cell r="K218" t="str">
            <v>SE - DM - GRANITE HILL</v>
          </cell>
          <cell r="L218" t="str">
            <v>Yes</v>
          </cell>
          <cell r="M218"/>
        </row>
        <row r="219">
          <cell r="D219">
            <v>7093046430</v>
          </cell>
          <cell r="E219" t="str">
            <v>08/26/2023</v>
          </cell>
          <cell r="F219" t="str">
            <v>M</v>
          </cell>
          <cell r="G219">
            <v>16</v>
          </cell>
          <cell r="H219" t="str">
            <v>Other Health Impairment (OHI)</v>
          </cell>
          <cell r="I219" t="str">
            <v>Y</v>
          </cell>
          <cell r="J219" t="str">
            <v>Declined to state/Unknown</v>
          </cell>
          <cell r="K219" t="str">
            <v>SE - WE - EARLY START</v>
          </cell>
          <cell r="L219" t="str">
            <v>Yes</v>
          </cell>
          <cell r="M219"/>
        </row>
        <row r="220">
          <cell r="D220">
            <v>6294146398</v>
          </cell>
          <cell r="E220" t="str">
            <v>05/28/2011</v>
          </cell>
          <cell r="F220" t="str">
            <v>M</v>
          </cell>
          <cell r="G220">
            <v>9</v>
          </cell>
          <cell r="H220" t="str">
            <v>Autism (AUT)</v>
          </cell>
          <cell r="I220" t="str">
            <v>N</v>
          </cell>
          <cell r="J220" t="str">
            <v>White</v>
          </cell>
          <cell r="K220" t="str">
            <v>SE - DM - VICTOR VALLEY SR</v>
          </cell>
          <cell r="L220" t="str">
            <v>Yes</v>
          </cell>
          <cell r="M220"/>
        </row>
        <row r="221">
          <cell r="D221">
            <v>1604705793</v>
          </cell>
          <cell r="E221" t="str">
            <v>11/08/2006</v>
          </cell>
          <cell r="F221" t="str">
            <v>M</v>
          </cell>
          <cell r="G221">
            <v>12</v>
          </cell>
          <cell r="H221" t="str">
            <v>Multiple Disability (MD)</v>
          </cell>
          <cell r="I221" t="str">
            <v>N</v>
          </cell>
          <cell r="J221" t="str">
            <v>White</v>
          </cell>
          <cell r="K221" t="str">
            <v>SE - DM - HESPERIA SR</v>
          </cell>
          <cell r="L221" t="str">
            <v>Yes</v>
          </cell>
          <cell r="M221"/>
        </row>
        <row r="222">
          <cell r="D222">
            <v>3925919171</v>
          </cell>
          <cell r="E222" t="str">
            <v>12/23/2010</v>
          </cell>
          <cell r="F222" t="str">
            <v>M</v>
          </cell>
          <cell r="G222">
            <v>9</v>
          </cell>
          <cell r="H222" t="str">
            <v>Intellectual Disability (ID)</v>
          </cell>
          <cell r="I222" t="str">
            <v>N</v>
          </cell>
          <cell r="J222" t="str">
            <v>White</v>
          </cell>
          <cell r="K222" t="str">
            <v>SE - DM - COBALT IMS</v>
          </cell>
          <cell r="L222" t="str">
            <v>Yes</v>
          </cell>
          <cell r="M222"/>
        </row>
        <row r="223">
          <cell r="D223">
            <v>2232559225</v>
          </cell>
          <cell r="E223" t="str">
            <v>10/17/2006</v>
          </cell>
          <cell r="F223" t="str">
            <v>F</v>
          </cell>
          <cell r="G223">
            <v>12</v>
          </cell>
          <cell r="H223" t="str">
            <v>Intellectual Disability (ID)</v>
          </cell>
          <cell r="I223" t="str">
            <v>Y</v>
          </cell>
          <cell r="J223" t="str">
            <v>Declined to state/Unknown</v>
          </cell>
          <cell r="K223" t="str">
            <v>SE - DM - HESPERIA SR</v>
          </cell>
          <cell r="L223" t="str">
            <v>Yes</v>
          </cell>
          <cell r="M223"/>
        </row>
        <row r="224">
          <cell r="D224">
            <v>4198862518</v>
          </cell>
          <cell r="E224" t="str">
            <v>04/12/2009</v>
          </cell>
          <cell r="F224" t="str">
            <v>M</v>
          </cell>
          <cell r="G224">
            <v>11</v>
          </cell>
          <cell r="H224" t="str">
            <v>Multiple Disability (MD)</v>
          </cell>
          <cell r="I224" t="str">
            <v>Y</v>
          </cell>
          <cell r="J224" t="str">
            <v>American Indian or Alaskan Native</v>
          </cell>
          <cell r="K224" t="str">
            <v>SE - EV - RIALTO HS 2</v>
          </cell>
          <cell r="L224" t="str">
            <v>Yes</v>
          </cell>
          <cell r="M224"/>
        </row>
        <row r="225">
          <cell r="D225">
            <v>8156977547</v>
          </cell>
          <cell r="E225" t="str">
            <v>12/01/2023</v>
          </cell>
          <cell r="F225" t="str">
            <v>M</v>
          </cell>
          <cell r="G225">
            <v>16</v>
          </cell>
          <cell r="H225" t="str">
            <v>Other Health Impairment (OHI)</v>
          </cell>
          <cell r="I225" t="str">
            <v>Y</v>
          </cell>
          <cell r="J225" t="str">
            <v>Declined to state/Unknown</v>
          </cell>
          <cell r="K225" t="str">
            <v>SE - WE - EARLY START</v>
          </cell>
          <cell r="L225" t="str">
            <v>Yes</v>
          </cell>
          <cell r="M225"/>
        </row>
        <row r="226">
          <cell r="D226">
            <v>3080449293</v>
          </cell>
          <cell r="E226" t="str">
            <v>10/28/2008</v>
          </cell>
          <cell r="F226" t="str">
            <v>M</v>
          </cell>
          <cell r="G226">
            <v>11</v>
          </cell>
          <cell r="H226" t="str">
            <v>Intellectual Disability (ID)</v>
          </cell>
          <cell r="I226" t="str">
            <v>Y</v>
          </cell>
          <cell r="J226" t="str">
            <v>Declined to state/Unknown</v>
          </cell>
          <cell r="K226" t="str">
            <v>SE - DM - SULTANA</v>
          </cell>
          <cell r="L226" t="str">
            <v>Yes</v>
          </cell>
          <cell r="M226"/>
        </row>
        <row r="227">
          <cell r="D227">
            <v>2796012448</v>
          </cell>
          <cell r="E227" t="str">
            <v>05/06/2023</v>
          </cell>
          <cell r="F227" t="str">
            <v>M</v>
          </cell>
          <cell r="G227">
            <v>16</v>
          </cell>
          <cell r="H227" t="str">
            <v>Speech or Language Impairment (SLI)</v>
          </cell>
          <cell r="I227" t="str">
            <v>Y</v>
          </cell>
          <cell r="J227" t="str">
            <v>Declined to state/Unknown</v>
          </cell>
          <cell r="K227" t="str">
            <v>SE - EV - EARLY START</v>
          </cell>
          <cell r="L227" t="str">
            <v>Yes</v>
          </cell>
          <cell r="M227"/>
        </row>
        <row r="228">
          <cell r="D228">
            <v>9126514596</v>
          </cell>
          <cell r="E228" t="str">
            <v>03/25/2010</v>
          </cell>
          <cell r="F228" t="str">
            <v>F</v>
          </cell>
          <cell r="G228">
            <v>10</v>
          </cell>
          <cell r="H228" t="str">
            <v>Multiple Disability (MD)</v>
          </cell>
          <cell r="I228" t="str">
            <v>Y</v>
          </cell>
          <cell r="J228" t="str">
            <v>White</v>
          </cell>
          <cell r="K228" t="str">
            <v>SE - WE - CHINO HS</v>
          </cell>
          <cell r="L228" t="str">
            <v>Yes</v>
          </cell>
          <cell r="M228"/>
        </row>
        <row r="229">
          <cell r="D229">
            <v>9188990741</v>
          </cell>
          <cell r="E229" t="str">
            <v>12/05/2005</v>
          </cell>
          <cell r="F229" t="str">
            <v>F</v>
          </cell>
          <cell r="G229">
            <v>12</v>
          </cell>
          <cell r="H229" t="str">
            <v>Multiple Disability (MD)</v>
          </cell>
          <cell r="I229" t="str">
            <v>Y</v>
          </cell>
          <cell r="J229" t="str">
            <v>Declined to state/Unknown</v>
          </cell>
          <cell r="K229" t="str">
            <v>SE - DM - MELVA  DAVIS ACADEMY OF EXCELLENCE</v>
          </cell>
          <cell r="L229" t="str">
            <v>Yes</v>
          </cell>
          <cell r="M229"/>
        </row>
        <row r="230">
          <cell r="D230">
            <v>6610878808</v>
          </cell>
          <cell r="E230" t="str">
            <v>07/21/2011</v>
          </cell>
          <cell r="F230" t="str">
            <v>M</v>
          </cell>
          <cell r="G230">
            <v>9</v>
          </cell>
          <cell r="H230" t="str">
            <v>Intellectual Disability (ID)</v>
          </cell>
          <cell r="I230" t="str">
            <v>Y</v>
          </cell>
          <cell r="J230" t="str">
            <v>Declined to state/Unknown</v>
          </cell>
          <cell r="K230" t="str">
            <v>SE - DM - OAK HILLS HS</v>
          </cell>
          <cell r="L230" t="str">
            <v>Yes</v>
          </cell>
          <cell r="M230"/>
        </row>
        <row r="231">
          <cell r="D231">
            <v>7754069507</v>
          </cell>
          <cell r="E231" t="str">
            <v>11/02/2007</v>
          </cell>
          <cell r="F231" t="str">
            <v>M</v>
          </cell>
          <cell r="G231">
            <v>12</v>
          </cell>
          <cell r="H231" t="str">
            <v>Other Health Impairment (OHI)</v>
          </cell>
          <cell r="I231" t="str">
            <v>Y</v>
          </cell>
          <cell r="J231" t="str">
            <v>Declined to state/Unknown</v>
          </cell>
          <cell r="K231" t="str">
            <v>CS - CHAFFEY WEST CS</v>
          </cell>
          <cell r="L231" t="str">
            <v>Yes</v>
          </cell>
          <cell r="M231"/>
        </row>
        <row r="232">
          <cell r="D232">
            <v>9903725921</v>
          </cell>
          <cell r="E232" t="str">
            <v>04/14/2008</v>
          </cell>
          <cell r="F232" t="str">
            <v>F</v>
          </cell>
          <cell r="G232">
            <v>12</v>
          </cell>
          <cell r="H232" t="str">
            <v>Multiple Disability (MD)</v>
          </cell>
          <cell r="I232" t="str">
            <v>Y</v>
          </cell>
          <cell r="J232" t="str">
            <v>American Indian or Alaskan Native</v>
          </cell>
          <cell r="K232" t="str">
            <v>SE - WE - CHINO HS</v>
          </cell>
          <cell r="L232" t="str">
            <v>Yes</v>
          </cell>
          <cell r="M232"/>
        </row>
        <row r="233">
          <cell r="D233">
            <v>4009501091</v>
          </cell>
          <cell r="E233" t="str">
            <v>04/04/2004</v>
          </cell>
          <cell r="F233" t="str">
            <v>M</v>
          </cell>
          <cell r="G233">
            <v>12</v>
          </cell>
          <cell r="H233" t="str">
            <v>Intellectual Disability (ID)</v>
          </cell>
          <cell r="I233" t="str">
            <v>Y</v>
          </cell>
          <cell r="J233" t="str">
            <v>White</v>
          </cell>
          <cell r="K233" t="str">
            <v>SE - WE - UPLAND HS</v>
          </cell>
          <cell r="L233" t="str">
            <v>Yes</v>
          </cell>
          <cell r="M233"/>
        </row>
        <row r="234">
          <cell r="D234">
            <v>7020836820</v>
          </cell>
          <cell r="E234" t="str">
            <v>08/31/2011</v>
          </cell>
          <cell r="F234" t="str">
            <v>M</v>
          </cell>
          <cell r="G234">
            <v>9</v>
          </cell>
          <cell r="H234" t="str">
            <v>Autism (AUT)</v>
          </cell>
          <cell r="I234" t="str">
            <v>Y</v>
          </cell>
          <cell r="J234" t="str">
            <v>White</v>
          </cell>
          <cell r="K234" t="str">
            <v>SE - DM - COBALT IMS</v>
          </cell>
          <cell r="L234" t="str">
            <v>Yes</v>
          </cell>
          <cell r="M234"/>
        </row>
        <row r="235">
          <cell r="D235">
            <v>4329599152</v>
          </cell>
          <cell r="E235" t="str">
            <v>11/25/2023</v>
          </cell>
          <cell r="F235" t="str">
            <v>F</v>
          </cell>
          <cell r="G235">
            <v>16</v>
          </cell>
          <cell r="H235" t="str">
            <v>Visual Impairment (VI)</v>
          </cell>
          <cell r="I235" t="str">
            <v>Y</v>
          </cell>
          <cell r="J235" t="str">
            <v>White</v>
          </cell>
          <cell r="K235" t="str">
            <v>SE - DM - EARLY START</v>
          </cell>
          <cell r="L235" t="str">
            <v>Yes</v>
          </cell>
          <cell r="M235"/>
        </row>
        <row r="236">
          <cell r="D236">
            <v>3413201297</v>
          </cell>
          <cell r="E236" t="str">
            <v>03/03/2006</v>
          </cell>
          <cell r="F236" t="str">
            <v>M</v>
          </cell>
          <cell r="G236">
            <v>12</v>
          </cell>
          <cell r="H236" t="str">
            <v>Specific Learning Disability (SLD)</v>
          </cell>
          <cell r="I236" t="str">
            <v>Y</v>
          </cell>
          <cell r="J236" t="str">
            <v>Declined to state/Unknown</v>
          </cell>
          <cell r="K236" t="str">
            <v>CS - BOB MURPHY CS</v>
          </cell>
          <cell r="L236" t="str">
            <v>Yes</v>
          </cell>
          <cell r="M236"/>
        </row>
        <row r="237">
          <cell r="D237">
            <v>6966078300</v>
          </cell>
          <cell r="E237" t="str">
            <v>06/02/2025</v>
          </cell>
          <cell r="F237" t="str">
            <v>M</v>
          </cell>
          <cell r="G237">
            <v>16</v>
          </cell>
          <cell r="H237" t="str">
            <v>Intellectual Disability (ID)</v>
          </cell>
          <cell r="I237" t="str">
            <v>Y</v>
          </cell>
          <cell r="J237" t="str">
            <v>Declined to state/Unknown</v>
          </cell>
          <cell r="K237" t="str">
            <v>SE - EV - EARLY START</v>
          </cell>
          <cell r="L237" t="str">
            <v>Yes</v>
          </cell>
          <cell r="M237"/>
        </row>
        <row r="238">
          <cell r="D238">
            <v>3984990658</v>
          </cell>
          <cell r="E238" t="str">
            <v>07/29/2010</v>
          </cell>
          <cell r="F238" t="str">
            <v>F</v>
          </cell>
          <cell r="G238">
            <v>10</v>
          </cell>
          <cell r="H238" t="str">
            <v>Intellectual Disability (ID)</v>
          </cell>
          <cell r="I238" t="str">
            <v>Y</v>
          </cell>
          <cell r="J238" t="str">
            <v>White</v>
          </cell>
          <cell r="K238" t="str">
            <v>SE - DM - COBALT IMS</v>
          </cell>
          <cell r="L238" t="str">
            <v>Yes</v>
          </cell>
          <cell r="M238"/>
        </row>
        <row r="239">
          <cell r="D239">
            <v>6429779493</v>
          </cell>
          <cell r="E239" t="str">
            <v>01/26/2024</v>
          </cell>
          <cell r="F239" t="str">
            <v>F</v>
          </cell>
          <cell r="G239">
            <v>16</v>
          </cell>
          <cell r="H239" t="str">
            <v>Orthopedic Impairment (OI)</v>
          </cell>
          <cell r="I239" t="str">
            <v>Y</v>
          </cell>
          <cell r="J239" t="str">
            <v>Declined to state/Unknown</v>
          </cell>
          <cell r="K239" t="str">
            <v>SE - DM - EARLY START</v>
          </cell>
          <cell r="L239" t="str">
            <v>Yes</v>
          </cell>
          <cell r="M239"/>
        </row>
        <row r="240">
          <cell r="D240">
            <v>3097399634</v>
          </cell>
          <cell r="E240" t="str">
            <v>09/23/2009</v>
          </cell>
          <cell r="F240" t="str">
            <v>F</v>
          </cell>
          <cell r="G240">
            <v>11</v>
          </cell>
          <cell r="H240" t="str">
            <v>Autism (AUT)</v>
          </cell>
          <cell r="I240" t="str">
            <v>Y</v>
          </cell>
          <cell r="J240" t="str">
            <v>Declined to state/Unknown</v>
          </cell>
          <cell r="K240" t="str">
            <v>SE - DM - SULTANA</v>
          </cell>
          <cell r="L240" t="str">
            <v>Yes</v>
          </cell>
          <cell r="M240"/>
        </row>
        <row r="241">
          <cell r="D241">
            <v>3008334655</v>
          </cell>
          <cell r="E241" t="str">
            <v>09/04/2023</v>
          </cell>
          <cell r="F241" t="str">
            <v>M</v>
          </cell>
          <cell r="G241">
            <v>16</v>
          </cell>
          <cell r="H241" t="str">
            <v>Other Health Impairment (OHI)</v>
          </cell>
          <cell r="I241" t="str">
            <v>Y</v>
          </cell>
          <cell r="J241" t="str">
            <v>American Indian or Alaskan Native</v>
          </cell>
          <cell r="K241" t="str">
            <v>SE - EV - EARLY START</v>
          </cell>
          <cell r="L241" t="str">
            <v>Yes</v>
          </cell>
          <cell r="M241"/>
        </row>
        <row r="242">
          <cell r="D242">
            <v>8141561381</v>
          </cell>
          <cell r="E242" t="str">
            <v>03/08/2009</v>
          </cell>
          <cell r="F242" t="str">
            <v>M</v>
          </cell>
          <cell r="G242">
            <v>11</v>
          </cell>
          <cell r="H242" t="str">
            <v>Intellectual Disability (ID)</v>
          </cell>
          <cell r="I242" t="str">
            <v>Y</v>
          </cell>
          <cell r="J242" t="str">
            <v>American Indian or Alaskan Native</v>
          </cell>
          <cell r="K242" t="str">
            <v>SE - EV - COLTON HS</v>
          </cell>
          <cell r="L242" t="str">
            <v>Yes</v>
          </cell>
          <cell r="M242"/>
        </row>
        <row r="243">
          <cell r="D243">
            <v>2692997245</v>
          </cell>
          <cell r="E243" t="str">
            <v>08/02/2011</v>
          </cell>
          <cell r="F243" t="str">
            <v>F</v>
          </cell>
          <cell r="G243">
            <v>9</v>
          </cell>
          <cell r="H243" t="str">
            <v>Deafness (DEAF)/Hearing Impairment (HI)</v>
          </cell>
          <cell r="I243" t="str">
            <v>N</v>
          </cell>
          <cell r="J243" t="str">
            <v>Black or African American</v>
          </cell>
          <cell r="K243" t="str">
            <v>SE - DM - HESPERIA SR</v>
          </cell>
          <cell r="L243" t="str">
            <v>Yes</v>
          </cell>
          <cell r="M243"/>
        </row>
        <row r="244">
          <cell r="D244">
            <v>7392020040</v>
          </cell>
          <cell r="E244" t="str">
            <v>07/13/2007</v>
          </cell>
          <cell r="F244" t="str">
            <v>M</v>
          </cell>
          <cell r="G244">
            <v>12</v>
          </cell>
          <cell r="H244" t="str">
            <v>Intellectual Disability (ID)</v>
          </cell>
          <cell r="I244" t="str">
            <v>N</v>
          </cell>
          <cell r="J244" t="str">
            <v>Black or African American</v>
          </cell>
          <cell r="K244" t="str">
            <v>SE - WE - LOS OSOS HS</v>
          </cell>
          <cell r="L244" t="str">
            <v>Yes</v>
          </cell>
          <cell r="M244"/>
        </row>
        <row r="245">
          <cell r="D245">
            <v>9057400738</v>
          </cell>
          <cell r="E245" t="str">
            <v>08/01/2008</v>
          </cell>
          <cell r="F245" t="str">
            <v>N</v>
          </cell>
          <cell r="G245">
            <v>12</v>
          </cell>
          <cell r="H245" t="str">
            <v>Specific Learning Disability (SLD)</v>
          </cell>
          <cell r="I245" t="str">
            <v>N</v>
          </cell>
          <cell r="J245" t="str">
            <v>White</v>
          </cell>
          <cell r="K245" t="str">
            <v>CS - VICTORVILLE EDUCATION CENTER SECOND PROGRAM</v>
          </cell>
          <cell r="L245" t="str">
            <v>Yes</v>
          </cell>
          <cell r="M245"/>
        </row>
        <row r="246">
          <cell r="D246">
            <v>6976113726</v>
          </cell>
          <cell r="E246" t="str">
            <v>05/28/2011</v>
          </cell>
          <cell r="F246" t="str">
            <v>F</v>
          </cell>
          <cell r="G246">
            <v>9</v>
          </cell>
          <cell r="H246" t="str">
            <v>Other Health Impairment (OHI)</v>
          </cell>
          <cell r="I246" t="str">
            <v>N</v>
          </cell>
          <cell r="J246" t="str">
            <v>Black or African American</v>
          </cell>
          <cell r="K246" t="str">
            <v>CS - CHAFFEY WEST CS</v>
          </cell>
          <cell r="L246" t="str">
            <v>Yes</v>
          </cell>
          <cell r="M246"/>
        </row>
        <row r="247">
          <cell r="D247">
            <v>3235113731</v>
          </cell>
          <cell r="E247" t="str">
            <v>04/03/2008</v>
          </cell>
          <cell r="F247" t="str">
            <v>F</v>
          </cell>
          <cell r="G247">
            <v>12</v>
          </cell>
          <cell r="H247" t="str">
            <v>Intellectual Disability (ID)</v>
          </cell>
          <cell r="I247" t="str">
            <v>Y</v>
          </cell>
          <cell r="J247" t="str">
            <v>American Indian or Alaskan Native</v>
          </cell>
          <cell r="K247" t="str">
            <v>SE - EV - COLTON HS 2</v>
          </cell>
          <cell r="L247" t="str">
            <v>Yes</v>
          </cell>
          <cell r="M247"/>
        </row>
        <row r="248">
          <cell r="D248">
            <v>2606156875</v>
          </cell>
          <cell r="E248" t="str">
            <v>04/19/2011</v>
          </cell>
          <cell r="F248" t="str">
            <v>M</v>
          </cell>
          <cell r="G248">
            <v>9</v>
          </cell>
          <cell r="H248" t="str">
            <v>Orthopedic Impairment (OI)</v>
          </cell>
          <cell r="I248" t="str">
            <v>Y</v>
          </cell>
          <cell r="J248" t="str">
            <v>Black or African American</v>
          </cell>
          <cell r="K248" t="str">
            <v>SE - EV - RIALTO HS 2</v>
          </cell>
          <cell r="L248" t="str">
            <v>Yes</v>
          </cell>
          <cell r="M248"/>
        </row>
        <row r="249">
          <cell r="D249">
            <v>2929847152</v>
          </cell>
          <cell r="E249" t="str">
            <v>06/09/2007</v>
          </cell>
          <cell r="F249" t="str">
            <v>M</v>
          </cell>
          <cell r="G249">
            <v>12</v>
          </cell>
          <cell r="H249" t="str">
            <v>Multiple Disability (MD)</v>
          </cell>
          <cell r="I249" t="str">
            <v>Y</v>
          </cell>
          <cell r="J249" t="str">
            <v>Declined to state/Unknown</v>
          </cell>
          <cell r="K249" t="str">
            <v>SE - HOME HOSPITAL</v>
          </cell>
          <cell r="L249" t="str">
            <v>Yes</v>
          </cell>
          <cell r="M249"/>
        </row>
        <row r="250">
          <cell r="D250">
            <v>6050317623</v>
          </cell>
          <cell r="E250" t="str">
            <v>01/12/2024</v>
          </cell>
          <cell r="F250" t="str">
            <v>F</v>
          </cell>
          <cell r="G250">
            <v>16</v>
          </cell>
          <cell r="H250" t="str">
            <v>Other Health Impairment (OHI)</v>
          </cell>
          <cell r="I250" t="str">
            <v>Y</v>
          </cell>
          <cell r="J250" t="str">
            <v>American Indian or Alaskan Native</v>
          </cell>
          <cell r="K250" t="str">
            <v>SE - WE - EARLY START</v>
          </cell>
          <cell r="L250" t="str">
            <v>Yes</v>
          </cell>
          <cell r="M250"/>
        </row>
        <row r="251">
          <cell r="D251">
            <v>5619875804</v>
          </cell>
          <cell r="E251" t="str">
            <v>11/04/2008</v>
          </cell>
          <cell r="F251" t="str">
            <v>M</v>
          </cell>
          <cell r="G251">
            <v>10</v>
          </cell>
          <cell r="H251" t="str">
            <v>Specific Learning Disability (SLD)</v>
          </cell>
          <cell r="I251" t="str">
            <v>N</v>
          </cell>
          <cell r="J251" t="str">
            <v>Black or African American</v>
          </cell>
          <cell r="K251" t="str">
            <v>CS - TRI CITY CS</v>
          </cell>
          <cell r="L251" t="str">
            <v>Yes</v>
          </cell>
          <cell r="M251"/>
        </row>
        <row r="252">
          <cell r="D252">
            <v>7745307298</v>
          </cell>
          <cell r="E252" t="str">
            <v>10/27/2008</v>
          </cell>
          <cell r="F252" t="str">
            <v>M</v>
          </cell>
          <cell r="G252">
            <v>11</v>
          </cell>
          <cell r="H252" t="str">
            <v>Deafness (DEAF)/Hearing Impairment (HI)</v>
          </cell>
          <cell r="I252" t="str">
            <v>Y</v>
          </cell>
          <cell r="J252" t="str">
            <v>White</v>
          </cell>
          <cell r="K252" t="str">
            <v>SE - DM - HESPERIA SR</v>
          </cell>
          <cell r="L252" t="str">
            <v>Yes</v>
          </cell>
          <cell r="M252"/>
        </row>
        <row r="253">
          <cell r="D253">
            <v>7528204607</v>
          </cell>
          <cell r="E253" t="str">
            <v>03/07/2008</v>
          </cell>
          <cell r="F253" t="str">
            <v>F</v>
          </cell>
          <cell r="G253">
            <v>12</v>
          </cell>
          <cell r="H253" t="str">
            <v>Intellectual Disability (ID)</v>
          </cell>
          <cell r="I253" t="str">
            <v>Y</v>
          </cell>
          <cell r="J253" t="str">
            <v>White</v>
          </cell>
          <cell r="K253" t="str">
            <v>SE - DM - SERRANO</v>
          </cell>
          <cell r="L253" t="str">
            <v>Yes</v>
          </cell>
          <cell r="M253"/>
        </row>
        <row r="254">
          <cell r="D254">
            <v>9605767926</v>
          </cell>
          <cell r="E254" t="str">
            <v>01/07/2010</v>
          </cell>
          <cell r="F254" t="str">
            <v>F</v>
          </cell>
          <cell r="G254">
            <v>10</v>
          </cell>
          <cell r="H254" t="str">
            <v>Emotional Disturbance (ED)</v>
          </cell>
          <cell r="I254" t="str">
            <v>N</v>
          </cell>
          <cell r="J254" t="str">
            <v>Guamanian</v>
          </cell>
          <cell r="K254" t="str">
            <v>SE - WE - GIBSON HS</v>
          </cell>
          <cell r="L254" t="str">
            <v>Yes</v>
          </cell>
          <cell r="M254"/>
        </row>
        <row r="255">
          <cell r="D255">
            <v>6525347196</v>
          </cell>
          <cell r="E255" t="str">
            <v>07/05/2025</v>
          </cell>
          <cell r="F255" t="str">
            <v>M</v>
          </cell>
          <cell r="G255">
            <v>16</v>
          </cell>
          <cell r="H255" t="str">
            <v>Hard of Hearing (HH)</v>
          </cell>
          <cell r="I255" t="str">
            <v>N</v>
          </cell>
          <cell r="J255" t="str">
            <v>Declined to state/Unknown</v>
          </cell>
          <cell r="K255" t="str">
            <v>SE - EV - EARLY START</v>
          </cell>
          <cell r="L255" t="str">
            <v>Yes</v>
          </cell>
          <cell r="M255"/>
        </row>
        <row r="256">
          <cell r="D256">
            <v>1590135985</v>
          </cell>
          <cell r="E256" t="str">
            <v>05/05/2004</v>
          </cell>
          <cell r="F256" t="str">
            <v>M</v>
          </cell>
          <cell r="G256">
            <v>12</v>
          </cell>
          <cell r="H256" t="str">
            <v>Autism (AUT)</v>
          </cell>
          <cell r="I256" t="str">
            <v>N</v>
          </cell>
          <cell r="J256" t="str">
            <v>Black or African American</v>
          </cell>
          <cell r="K256" t="str">
            <v>SE - WE - ALTA LOMA HS</v>
          </cell>
          <cell r="L256" t="str">
            <v>Yes</v>
          </cell>
          <cell r="M256"/>
        </row>
        <row r="257">
          <cell r="D257">
            <v>4028912752</v>
          </cell>
          <cell r="E257" t="str">
            <v>11/15/2023</v>
          </cell>
          <cell r="F257" t="str">
            <v>F</v>
          </cell>
          <cell r="G257">
            <v>16</v>
          </cell>
          <cell r="H257" t="str">
            <v>Orthopedic Impairment (OI)</v>
          </cell>
          <cell r="I257" t="str">
            <v>Y</v>
          </cell>
          <cell r="J257" t="str">
            <v>American Indian or Alaskan Native</v>
          </cell>
          <cell r="K257" t="str">
            <v>SE - EV - EARLY START</v>
          </cell>
          <cell r="L257" t="str">
            <v>Yes</v>
          </cell>
          <cell r="M257"/>
        </row>
        <row r="258">
          <cell r="D258">
            <v>5982100615</v>
          </cell>
          <cell r="E258" t="str">
            <v>09/05/2007</v>
          </cell>
          <cell r="F258" t="str">
            <v>M</v>
          </cell>
          <cell r="G258">
            <v>12</v>
          </cell>
          <cell r="H258" t="str">
            <v>Specific Learning Disability (SLD)</v>
          </cell>
          <cell r="I258" t="str">
            <v>Y</v>
          </cell>
          <cell r="J258" t="str">
            <v>American Indian or Alaskan Native</v>
          </cell>
          <cell r="K258" t="str">
            <v>CS - TRI CITY CS</v>
          </cell>
          <cell r="L258" t="str">
            <v>Yes</v>
          </cell>
          <cell r="M258"/>
        </row>
        <row r="259">
          <cell r="D259">
            <v>2869709668</v>
          </cell>
          <cell r="E259" t="str">
            <v>04/23/2025</v>
          </cell>
          <cell r="F259" t="str">
            <v>M</v>
          </cell>
          <cell r="G259">
            <v>16</v>
          </cell>
          <cell r="H259" t="str">
            <v>Orthopedic Impairment (OI)</v>
          </cell>
          <cell r="I259" t="str">
            <v>Y</v>
          </cell>
          <cell r="J259" t="str">
            <v>White</v>
          </cell>
          <cell r="K259" t="str">
            <v>SE - EV - EARLY START</v>
          </cell>
          <cell r="L259" t="str">
            <v>Yes</v>
          </cell>
          <cell r="M259"/>
        </row>
        <row r="260">
          <cell r="D260">
            <v>7186138806</v>
          </cell>
          <cell r="E260" t="str">
            <v>07/18/2005</v>
          </cell>
          <cell r="F260" t="str">
            <v>M</v>
          </cell>
          <cell r="G260">
            <v>12</v>
          </cell>
          <cell r="H260" t="str">
            <v>Multiple Disability (MD)</v>
          </cell>
          <cell r="I260" t="str">
            <v>Y</v>
          </cell>
          <cell r="J260" t="str">
            <v>White</v>
          </cell>
          <cell r="K260" t="str">
            <v>SE - EV - COLTON HS</v>
          </cell>
          <cell r="L260" t="str">
            <v>Yes</v>
          </cell>
          <cell r="M260"/>
        </row>
        <row r="261">
          <cell r="D261">
            <v>6766955212</v>
          </cell>
          <cell r="E261" t="str">
            <v>04/10/2025</v>
          </cell>
          <cell r="F261" t="str">
            <v>M</v>
          </cell>
          <cell r="G261">
            <v>16</v>
          </cell>
          <cell r="H261" t="str">
            <v>Other Health Impairment (OHI)</v>
          </cell>
          <cell r="I261" t="str">
            <v>Y</v>
          </cell>
          <cell r="J261" t="str">
            <v>White</v>
          </cell>
          <cell r="K261" t="str">
            <v>SE - WE - EARLY START</v>
          </cell>
          <cell r="L261" t="str">
            <v>Yes</v>
          </cell>
          <cell r="M261"/>
        </row>
        <row r="262">
          <cell r="D262">
            <v>4697889862</v>
          </cell>
          <cell r="E262" t="str">
            <v>06/18/2025</v>
          </cell>
          <cell r="F262" t="str">
            <v>M</v>
          </cell>
          <cell r="G262">
            <v>16</v>
          </cell>
          <cell r="H262" t="str">
            <v>Visual Impairment (VI)</v>
          </cell>
          <cell r="I262" t="str">
            <v>Y</v>
          </cell>
          <cell r="J262" t="str">
            <v>White</v>
          </cell>
          <cell r="K262" t="str">
            <v>SE - WE - EARLY START</v>
          </cell>
          <cell r="L262" t="str">
            <v>Yes</v>
          </cell>
          <cell r="M262"/>
        </row>
        <row r="263">
          <cell r="D263">
            <v>8291100407</v>
          </cell>
          <cell r="E263" t="str">
            <v>09/29/2025</v>
          </cell>
          <cell r="F263" t="str">
            <v>F</v>
          </cell>
          <cell r="G263">
            <v>16</v>
          </cell>
          <cell r="H263" t="str">
            <v>Visual Impairment (VI)</v>
          </cell>
          <cell r="I263" t="str">
            <v>Y</v>
          </cell>
          <cell r="J263" t="str">
            <v>White</v>
          </cell>
          <cell r="K263" t="str">
            <v>SE - DM - EARLY START</v>
          </cell>
          <cell r="L263" t="str">
            <v>Yes</v>
          </cell>
          <cell r="M263"/>
        </row>
        <row r="264">
          <cell r="D264">
            <v>2660323138</v>
          </cell>
          <cell r="E264" t="str">
            <v>05/05/2008</v>
          </cell>
          <cell r="F264" t="str">
            <v>M</v>
          </cell>
          <cell r="G264">
            <v>12</v>
          </cell>
          <cell r="H264" t="str">
            <v>Other Health Impairment (OHI)</v>
          </cell>
          <cell r="I264" t="str">
            <v>Y</v>
          </cell>
          <cell r="J264" t="str">
            <v>Declined to state/Unknown</v>
          </cell>
          <cell r="K264" t="str">
            <v>CS - CHAFFEY WEST CS</v>
          </cell>
          <cell r="L264" t="str">
            <v>Yes</v>
          </cell>
          <cell r="M264"/>
        </row>
        <row r="265">
          <cell r="D265">
            <v>9747847315</v>
          </cell>
          <cell r="E265" t="str">
            <v>02/16/2010</v>
          </cell>
          <cell r="F265" t="str">
            <v>M</v>
          </cell>
          <cell r="G265">
            <v>10</v>
          </cell>
          <cell r="H265" t="str">
            <v>Autism (AUT)</v>
          </cell>
          <cell r="I265" t="str">
            <v>N</v>
          </cell>
          <cell r="J265" t="str">
            <v>Black or African American</v>
          </cell>
          <cell r="K265" t="str">
            <v>SE - DM - VISION ALT LEARNING ACADEMY</v>
          </cell>
          <cell r="L265" t="str">
            <v>Yes</v>
          </cell>
          <cell r="M265"/>
        </row>
        <row r="266">
          <cell r="D266">
            <v>8758128385</v>
          </cell>
          <cell r="E266" t="str">
            <v>01/02/2009</v>
          </cell>
          <cell r="F266" t="str">
            <v>F</v>
          </cell>
          <cell r="G266">
            <v>11</v>
          </cell>
          <cell r="H266" t="str">
            <v>Specific Learning Disability (SLD)</v>
          </cell>
          <cell r="I266" t="str">
            <v>Y</v>
          </cell>
          <cell r="J266" t="str">
            <v>Declined to state/Unknown</v>
          </cell>
          <cell r="K266" t="str">
            <v>CS - BOB MURPHY CS</v>
          </cell>
          <cell r="L266" t="str">
            <v>Yes</v>
          </cell>
          <cell r="M266"/>
        </row>
        <row r="267">
          <cell r="D267">
            <v>4492139422</v>
          </cell>
          <cell r="E267" t="str">
            <v>01/31/2008</v>
          </cell>
          <cell r="F267" t="str">
            <v>F</v>
          </cell>
          <cell r="G267">
            <v>11</v>
          </cell>
          <cell r="H267" t="str">
            <v>Specific Learning Disability (SLD)</v>
          </cell>
          <cell r="I267" t="str">
            <v>Y</v>
          </cell>
          <cell r="J267" t="str">
            <v>White</v>
          </cell>
          <cell r="K267" t="str">
            <v>CS - BOB MURPHY CS</v>
          </cell>
          <cell r="L267" t="str">
            <v>Yes</v>
          </cell>
          <cell r="M267"/>
        </row>
        <row r="268">
          <cell r="D268">
            <v>6944742630</v>
          </cell>
          <cell r="E268" t="str">
            <v>03/10/2011</v>
          </cell>
          <cell r="F268" t="str">
            <v>F</v>
          </cell>
          <cell r="G268">
            <v>9</v>
          </cell>
          <cell r="H268" t="str">
            <v>Autism (AUT)</v>
          </cell>
          <cell r="I268" t="str">
            <v>N</v>
          </cell>
          <cell r="J268" t="str">
            <v>Tahitian</v>
          </cell>
          <cell r="K268" t="str">
            <v>SE - DM - COBALT IMS</v>
          </cell>
          <cell r="L268" t="str">
            <v>Yes</v>
          </cell>
          <cell r="M268"/>
        </row>
        <row r="269">
          <cell r="D269">
            <v>8478413267</v>
          </cell>
          <cell r="E269" t="str">
            <v>02/02/2009</v>
          </cell>
          <cell r="F269" t="str">
            <v>M</v>
          </cell>
          <cell r="G269">
            <v>11</v>
          </cell>
          <cell r="H269" t="str">
            <v>Specific Learning Disability (SLD)</v>
          </cell>
          <cell r="I269" t="str">
            <v>N</v>
          </cell>
          <cell r="J269" t="str">
            <v>Black or African American</v>
          </cell>
          <cell r="K269" t="str">
            <v>JCS - EAST VALLEY JUV COURT SCHOOL</v>
          </cell>
          <cell r="L269" t="str">
            <v>Yes</v>
          </cell>
          <cell r="M269"/>
        </row>
        <row r="270">
          <cell r="D270">
            <v>2628829530</v>
          </cell>
          <cell r="E270" t="str">
            <v>12/04/2007</v>
          </cell>
          <cell r="F270" t="str">
            <v>M</v>
          </cell>
          <cell r="G270">
            <v>12</v>
          </cell>
          <cell r="H270" t="str">
            <v>Autism (AUT)</v>
          </cell>
          <cell r="I270" t="str">
            <v>N</v>
          </cell>
          <cell r="J270" t="str">
            <v>Black or African American</v>
          </cell>
          <cell r="K270" t="str">
            <v>SE - DM - VICTOR VALLEY SR</v>
          </cell>
          <cell r="L270" t="str">
            <v>Yes</v>
          </cell>
          <cell r="M270"/>
        </row>
        <row r="271">
          <cell r="D271">
            <v>2153217565</v>
          </cell>
          <cell r="E271" t="str">
            <v>01/11/2004</v>
          </cell>
          <cell r="F271" t="str">
            <v>F</v>
          </cell>
          <cell r="G271">
            <v>12</v>
          </cell>
          <cell r="H271" t="str">
            <v>Intellectual Disability (ID)</v>
          </cell>
          <cell r="I271" t="str">
            <v>N</v>
          </cell>
          <cell r="J271" t="str">
            <v>Filipino</v>
          </cell>
          <cell r="K271" t="str">
            <v>SE - WE - LOS OSOS HS</v>
          </cell>
          <cell r="L271" t="str">
            <v>Yes</v>
          </cell>
          <cell r="M271"/>
        </row>
        <row r="272">
          <cell r="D272">
            <v>6922441462</v>
          </cell>
          <cell r="E272" t="str">
            <v>09/28/2008</v>
          </cell>
          <cell r="F272" t="str">
            <v>M</v>
          </cell>
          <cell r="G272">
            <v>12</v>
          </cell>
          <cell r="H272" t="str">
            <v>Multiple Disability (MD)</v>
          </cell>
          <cell r="I272" t="str">
            <v>Y</v>
          </cell>
          <cell r="J272" t="str">
            <v>Declined to state/Unknown</v>
          </cell>
          <cell r="K272" t="str">
            <v>SE - DM - HESPERIA SR</v>
          </cell>
          <cell r="L272" t="str">
            <v>Yes</v>
          </cell>
          <cell r="M272"/>
        </row>
        <row r="273">
          <cell r="D273">
            <v>7208994341</v>
          </cell>
          <cell r="E273" t="str">
            <v>02/28/2007</v>
          </cell>
          <cell r="F273" t="str">
            <v>F</v>
          </cell>
          <cell r="G273">
            <v>12</v>
          </cell>
          <cell r="H273" t="str">
            <v>Multiple Disability (MD)</v>
          </cell>
          <cell r="I273" t="str">
            <v>Y</v>
          </cell>
          <cell r="J273" t="str">
            <v>Declined to state/Unknown</v>
          </cell>
          <cell r="K273" t="str">
            <v>SE - WE - CHINO HS</v>
          </cell>
          <cell r="L273" t="str">
            <v>Yes</v>
          </cell>
          <cell r="M273"/>
        </row>
        <row r="274">
          <cell r="D274">
            <v>1886151598</v>
          </cell>
          <cell r="E274" t="str">
            <v>10/27/2023</v>
          </cell>
          <cell r="F274" t="str">
            <v>M</v>
          </cell>
          <cell r="G274">
            <v>16</v>
          </cell>
          <cell r="H274" t="str">
            <v>Other Health Impairment (OHI)</v>
          </cell>
          <cell r="I274" t="str">
            <v>Y</v>
          </cell>
          <cell r="J274" t="str">
            <v>White</v>
          </cell>
          <cell r="K274" t="str">
            <v>SE - WE - EARLY START</v>
          </cell>
          <cell r="L274" t="str">
            <v>Yes</v>
          </cell>
          <cell r="M274"/>
        </row>
        <row r="275">
          <cell r="D275">
            <v>1692759137</v>
          </cell>
          <cell r="E275" t="str">
            <v>05/24/2005</v>
          </cell>
          <cell r="F275" t="str">
            <v>M</v>
          </cell>
          <cell r="G275">
            <v>12</v>
          </cell>
          <cell r="H275" t="str">
            <v>Intellectual Disability (ID)</v>
          </cell>
          <cell r="I275" t="str">
            <v>Y</v>
          </cell>
          <cell r="J275" t="str">
            <v>American Indian or Alaskan Native</v>
          </cell>
          <cell r="K275" t="str">
            <v>SE - WE - COLONY HS</v>
          </cell>
          <cell r="L275" t="str">
            <v>Yes</v>
          </cell>
          <cell r="M275"/>
        </row>
        <row r="276">
          <cell r="D276">
            <v>7263922421</v>
          </cell>
          <cell r="E276" t="str">
            <v>05/09/2008</v>
          </cell>
          <cell r="F276" t="str">
            <v>M</v>
          </cell>
          <cell r="G276">
            <v>12</v>
          </cell>
          <cell r="H276" t="str">
            <v>Autism (AUT)</v>
          </cell>
          <cell r="I276" t="str">
            <v>Y</v>
          </cell>
          <cell r="J276" t="str">
            <v>White</v>
          </cell>
          <cell r="K276" t="str">
            <v>SE - DM - COBALT IMS</v>
          </cell>
          <cell r="L276" t="str">
            <v>Yes</v>
          </cell>
          <cell r="M276"/>
        </row>
        <row r="277">
          <cell r="D277">
            <v>3069340435</v>
          </cell>
          <cell r="E277" t="str">
            <v>05/13/2008</v>
          </cell>
          <cell r="F277" t="str">
            <v>F</v>
          </cell>
          <cell r="G277">
            <v>12</v>
          </cell>
          <cell r="H277" t="str">
            <v>Multiple Disability (MD)</v>
          </cell>
          <cell r="I277" t="str">
            <v>N</v>
          </cell>
          <cell r="J277" t="str">
            <v>White</v>
          </cell>
          <cell r="K277" t="str">
            <v>SE - DM - SULTANA</v>
          </cell>
          <cell r="L277" t="str">
            <v>Yes</v>
          </cell>
          <cell r="M277"/>
        </row>
        <row r="278">
          <cell r="D278">
            <v>1674680624</v>
          </cell>
          <cell r="E278" t="str">
            <v>02/10/2007</v>
          </cell>
          <cell r="F278" t="str">
            <v>M</v>
          </cell>
          <cell r="G278">
            <v>12</v>
          </cell>
          <cell r="H278" t="str">
            <v>Autism (AUT)</v>
          </cell>
          <cell r="I278" t="str">
            <v>N</v>
          </cell>
          <cell r="J278" t="str">
            <v>Black or African American</v>
          </cell>
          <cell r="K278" t="str">
            <v>SE - DM - COBALT IMS</v>
          </cell>
          <cell r="L278" t="str">
            <v>Yes</v>
          </cell>
          <cell r="M278"/>
        </row>
        <row r="279">
          <cell r="D279">
            <v>9184492967</v>
          </cell>
          <cell r="E279" t="str">
            <v>02/25/2011</v>
          </cell>
          <cell r="F279" t="str">
            <v>M</v>
          </cell>
          <cell r="G279">
            <v>9</v>
          </cell>
          <cell r="H279" t="str">
            <v>Autism (AUT)</v>
          </cell>
          <cell r="I279" t="str">
            <v>Y</v>
          </cell>
          <cell r="J279" t="str">
            <v>White</v>
          </cell>
          <cell r="K279" t="str">
            <v>SE - EV - COLTON HS</v>
          </cell>
          <cell r="L279" t="str">
            <v>Yes</v>
          </cell>
          <cell r="M279"/>
        </row>
        <row r="280">
          <cell r="D280">
            <v>3830386757</v>
          </cell>
          <cell r="E280" t="str">
            <v>04/01/2025</v>
          </cell>
          <cell r="F280" t="str">
            <v>M</v>
          </cell>
          <cell r="G280">
            <v>16</v>
          </cell>
          <cell r="H280" t="str">
            <v>Other Health Impairment (OHI)</v>
          </cell>
          <cell r="I280" t="str">
            <v>Y</v>
          </cell>
          <cell r="J280" t="str">
            <v>Black or African American</v>
          </cell>
          <cell r="K280" t="str">
            <v>SE - EV - EARLY START</v>
          </cell>
          <cell r="L280" t="str">
            <v>Yes</v>
          </cell>
          <cell r="M280"/>
        </row>
        <row r="281">
          <cell r="D281">
            <v>5042112118</v>
          </cell>
          <cell r="E281" t="str">
            <v>11/22/2023</v>
          </cell>
          <cell r="F281" t="str">
            <v>M</v>
          </cell>
          <cell r="G281">
            <v>16</v>
          </cell>
          <cell r="H281" t="str">
            <v>Other Health Impairment (OHI)</v>
          </cell>
          <cell r="I281" t="str">
            <v>Y</v>
          </cell>
          <cell r="J281" t="str">
            <v>White</v>
          </cell>
          <cell r="K281" t="str">
            <v>SE - WE - EARLY START</v>
          </cell>
          <cell r="L281" t="str">
            <v>Yes</v>
          </cell>
          <cell r="M281"/>
        </row>
        <row r="282">
          <cell r="D282">
            <v>8381940570</v>
          </cell>
          <cell r="E282" t="str">
            <v>03/16/2009</v>
          </cell>
          <cell r="F282" t="str">
            <v>M</v>
          </cell>
          <cell r="G282">
            <v>11</v>
          </cell>
          <cell r="H282" t="str">
            <v>Autism (AUT)</v>
          </cell>
          <cell r="I282" t="str">
            <v>N</v>
          </cell>
          <cell r="J282" t="str">
            <v>Black or African American</v>
          </cell>
          <cell r="K282" t="str">
            <v>SE - WE - ALTA LOMA HS</v>
          </cell>
          <cell r="L282" t="str">
            <v>Yes</v>
          </cell>
          <cell r="M282"/>
        </row>
        <row r="283">
          <cell r="D283">
            <v>7452100528</v>
          </cell>
          <cell r="E283" t="str">
            <v>10/19/2009</v>
          </cell>
          <cell r="F283" t="str">
            <v>M</v>
          </cell>
          <cell r="G283">
            <v>10</v>
          </cell>
          <cell r="H283" t="str">
            <v>Autism (AUT)</v>
          </cell>
          <cell r="I283" t="str">
            <v>Y</v>
          </cell>
          <cell r="J283" t="str">
            <v>White</v>
          </cell>
          <cell r="K283" t="str">
            <v>SE - DM - NEEDLES SR</v>
          </cell>
          <cell r="L283" t="str">
            <v>Yes</v>
          </cell>
          <cell r="M283"/>
        </row>
        <row r="284">
          <cell r="D284">
            <v>1304529546</v>
          </cell>
          <cell r="E284" t="str">
            <v>08/05/2009</v>
          </cell>
          <cell r="F284" t="str">
            <v>M</v>
          </cell>
          <cell r="G284">
            <v>11</v>
          </cell>
          <cell r="H284" t="str">
            <v>Other Health Impairment (OHI)</v>
          </cell>
          <cell r="I284" t="str">
            <v>Y</v>
          </cell>
          <cell r="J284" t="str">
            <v>American Indian or Alaskan Native</v>
          </cell>
          <cell r="K284" t="str">
            <v>CS - BARBARA PHELPS CS</v>
          </cell>
          <cell r="L284" t="str">
            <v>Yes</v>
          </cell>
          <cell r="M284"/>
        </row>
        <row r="285">
          <cell r="D285">
            <v>9590676355</v>
          </cell>
          <cell r="E285" t="str">
            <v>10/23/2006</v>
          </cell>
          <cell r="F285" t="str">
            <v>M</v>
          </cell>
          <cell r="G285">
            <v>12</v>
          </cell>
          <cell r="H285" t="str">
            <v>Autism (AUT)</v>
          </cell>
          <cell r="I285" t="str">
            <v>Y</v>
          </cell>
          <cell r="J285" t="str">
            <v>Declined to state/Unknown</v>
          </cell>
          <cell r="K285" t="str">
            <v>SE - WE - ALTA LOMA HS</v>
          </cell>
          <cell r="L285" t="str">
            <v>Yes</v>
          </cell>
          <cell r="M285"/>
        </row>
        <row r="286">
          <cell r="D286">
            <v>2745351584</v>
          </cell>
          <cell r="E286" t="str">
            <v>09/22/2008</v>
          </cell>
          <cell r="F286" t="str">
            <v>F</v>
          </cell>
          <cell r="G286">
            <v>11</v>
          </cell>
          <cell r="H286" t="str">
            <v>Specific Learning Disability (SLD)</v>
          </cell>
          <cell r="I286" t="str">
            <v>Y</v>
          </cell>
          <cell r="J286" t="str">
            <v>American Indian or Alaskan Native</v>
          </cell>
          <cell r="K286" t="str">
            <v>SE - DM - NEEDLES SR</v>
          </cell>
          <cell r="L286" t="str">
            <v>Yes</v>
          </cell>
          <cell r="M286"/>
        </row>
        <row r="287">
          <cell r="D287">
            <v>1219175583</v>
          </cell>
          <cell r="E287" t="str">
            <v>12/07/2006</v>
          </cell>
          <cell r="F287" t="str">
            <v>M</v>
          </cell>
          <cell r="G287">
            <v>12</v>
          </cell>
          <cell r="H287" t="str">
            <v>Deafness (DEAF)/Hearing Impairment (HI)</v>
          </cell>
          <cell r="I287" t="str">
            <v>Y</v>
          </cell>
          <cell r="J287" t="str">
            <v>Black or African American</v>
          </cell>
          <cell r="K287" t="str">
            <v>SE - DM - HESPERIA SR</v>
          </cell>
          <cell r="L287" t="str">
            <v>Yes</v>
          </cell>
          <cell r="M287"/>
        </row>
        <row r="288">
          <cell r="D288">
            <v>6548938740</v>
          </cell>
          <cell r="E288" t="str">
            <v>10/21/2025</v>
          </cell>
          <cell r="F288" t="str">
            <v>F</v>
          </cell>
          <cell r="G288">
            <v>16</v>
          </cell>
          <cell r="H288" t="str">
            <v>Speech or Language Impairment (SLI)</v>
          </cell>
          <cell r="I288" t="str">
            <v>Y</v>
          </cell>
          <cell r="J288" t="str">
            <v>Declined to state/Unknown</v>
          </cell>
          <cell r="K288" t="str">
            <v>SE - EV - EARLY START</v>
          </cell>
          <cell r="L288" t="str">
            <v>Yes</v>
          </cell>
          <cell r="M288"/>
        </row>
        <row r="289">
          <cell r="D289">
            <v>6794711245</v>
          </cell>
          <cell r="E289" t="str">
            <v>07/29/2007</v>
          </cell>
          <cell r="F289" t="str">
            <v>M</v>
          </cell>
          <cell r="G289">
            <v>12</v>
          </cell>
          <cell r="H289" t="str">
            <v>Autism (AUT)</v>
          </cell>
          <cell r="I289" t="str">
            <v>Y</v>
          </cell>
          <cell r="J289" t="str">
            <v>Laotian</v>
          </cell>
          <cell r="K289" t="str">
            <v>SE - DM - SERRANO</v>
          </cell>
          <cell r="L289" t="str">
            <v>Yes</v>
          </cell>
          <cell r="M289"/>
        </row>
        <row r="290">
          <cell r="D290">
            <v>1763006736</v>
          </cell>
          <cell r="E290" t="str">
            <v>02/26/2011</v>
          </cell>
          <cell r="F290" t="str">
            <v>M</v>
          </cell>
          <cell r="G290">
            <v>9</v>
          </cell>
          <cell r="H290" t="str">
            <v>Autism (AUT)</v>
          </cell>
          <cell r="I290" t="str">
            <v>Y</v>
          </cell>
          <cell r="J290" t="str">
            <v>Declined to state/Unknown</v>
          </cell>
          <cell r="K290" t="str">
            <v>SE - WE - CHINO HS</v>
          </cell>
          <cell r="L290" t="str">
            <v>Yes</v>
          </cell>
          <cell r="M290"/>
        </row>
        <row r="291">
          <cell r="D291">
            <v>1187950860</v>
          </cell>
          <cell r="E291" t="str">
            <v>12/02/2008</v>
          </cell>
          <cell r="F291" t="str">
            <v>M</v>
          </cell>
          <cell r="G291">
            <v>11</v>
          </cell>
          <cell r="H291" t="str">
            <v>Autism (AUT)</v>
          </cell>
          <cell r="I291" t="str">
            <v>Y</v>
          </cell>
          <cell r="J291" t="str">
            <v>American Indian or Alaskan Native</v>
          </cell>
          <cell r="K291" t="str">
            <v>SE - EV - COLTON HS</v>
          </cell>
          <cell r="L291" t="str">
            <v>Yes</v>
          </cell>
          <cell r="M291"/>
        </row>
        <row r="292">
          <cell r="D292">
            <v>5631405941</v>
          </cell>
          <cell r="E292" t="str">
            <v>07/16/2008</v>
          </cell>
          <cell r="F292" t="str">
            <v>M</v>
          </cell>
          <cell r="G292">
            <v>11</v>
          </cell>
          <cell r="H292" t="str">
            <v>Specific Learning Disability (SLD)</v>
          </cell>
          <cell r="I292" t="str">
            <v>Y</v>
          </cell>
          <cell r="J292" t="str">
            <v>White</v>
          </cell>
          <cell r="K292" t="str">
            <v>CS - BOB MURPHY CS</v>
          </cell>
          <cell r="L292" t="str">
            <v>Yes</v>
          </cell>
          <cell r="M292"/>
        </row>
        <row r="293">
          <cell r="D293">
            <v>6910216288</v>
          </cell>
          <cell r="E293" t="str">
            <v>12/07/2010</v>
          </cell>
          <cell r="F293" t="str">
            <v>M</v>
          </cell>
          <cell r="G293">
            <v>9</v>
          </cell>
          <cell r="H293" t="str">
            <v>Emotional Disturbance (ED)</v>
          </cell>
          <cell r="I293" t="str">
            <v>Y</v>
          </cell>
          <cell r="J293" t="str">
            <v>Declined to state/Unknown</v>
          </cell>
          <cell r="K293" t="str">
            <v>SE - EV - BARBARA PHELPS SP ED</v>
          </cell>
          <cell r="L293" t="str">
            <v>Yes</v>
          </cell>
          <cell r="M293"/>
        </row>
        <row r="294">
          <cell r="D294">
            <v>6887671457</v>
          </cell>
          <cell r="E294" t="str">
            <v>08/14/2024</v>
          </cell>
          <cell r="F294" t="str">
            <v>M</v>
          </cell>
          <cell r="G294">
            <v>16</v>
          </cell>
          <cell r="H294" t="str">
            <v>Other Health Impairment (OHI)</v>
          </cell>
          <cell r="I294" t="str">
            <v>Y</v>
          </cell>
          <cell r="J294" t="str">
            <v>Declined to state/Unknown</v>
          </cell>
          <cell r="K294" t="str">
            <v>SE - EV - EARLY START</v>
          </cell>
          <cell r="L294" t="str">
            <v>Yes</v>
          </cell>
          <cell r="M294"/>
        </row>
        <row r="295">
          <cell r="D295">
            <v>4003843408</v>
          </cell>
          <cell r="E295" t="str">
            <v>09/14/2006</v>
          </cell>
          <cell r="F295" t="str">
            <v>F</v>
          </cell>
          <cell r="G295">
            <v>12</v>
          </cell>
          <cell r="H295" t="str">
            <v>Autism (AUT)</v>
          </cell>
          <cell r="I295" t="str">
            <v>Y</v>
          </cell>
          <cell r="J295" t="str">
            <v>White</v>
          </cell>
          <cell r="K295" t="str">
            <v>SE - DM - SULTANA</v>
          </cell>
          <cell r="L295" t="str">
            <v>Yes</v>
          </cell>
          <cell r="M295"/>
        </row>
        <row r="296">
          <cell r="D296">
            <v>4394740882</v>
          </cell>
          <cell r="E296" t="str">
            <v>10/17/2007</v>
          </cell>
          <cell r="F296" t="str">
            <v>M</v>
          </cell>
          <cell r="G296">
            <v>12</v>
          </cell>
          <cell r="H296" t="str">
            <v>Specific Learning Disability (SLD)</v>
          </cell>
          <cell r="I296" t="str">
            <v>Y</v>
          </cell>
          <cell r="J296" t="str">
            <v>Declined to state/Unknown</v>
          </cell>
          <cell r="K296" t="str">
            <v>CS - BOB MURPHY CS</v>
          </cell>
          <cell r="L296" t="str">
            <v>Yes</v>
          </cell>
          <cell r="M296"/>
        </row>
        <row r="297">
          <cell r="D297">
            <v>8583064380</v>
          </cell>
          <cell r="E297" t="str">
            <v>06/27/2010</v>
          </cell>
          <cell r="F297" t="str">
            <v>M</v>
          </cell>
          <cell r="G297">
            <v>10</v>
          </cell>
          <cell r="H297" t="str">
            <v>Other Health Impairment (OHI)</v>
          </cell>
          <cell r="I297" t="str">
            <v>Y</v>
          </cell>
          <cell r="J297" t="str">
            <v>White</v>
          </cell>
          <cell r="K297" t="str">
            <v>CS - BOB MURPHY CS</v>
          </cell>
          <cell r="L297" t="str">
            <v>Yes</v>
          </cell>
          <cell r="M297"/>
        </row>
        <row r="298">
          <cell r="D298">
            <v>8914798170</v>
          </cell>
          <cell r="E298" t="str">
            <v>01/26/2007</v>
          </cell>
          <cell r="F298" t="str">
            <v>M</v>
          </cell>
          <cell r="G298">
            <v>12</v>
          </cell>
          <cell r="H298" t="str">
            <v>Emotional Disturbance (ED)</v>
          </cell>
          <cell r="I298" t="str">
            <v>Y</v>
          </cell>
          <cell r="J298" t="str">
            <v>Declined to state/Unknown</v>
          </cell>
          <cell r="K298" t="str">
            <v>SE - WE - GIBSON HS</v>
          </cell>
          <cell r="L298" t="str">
            <v>Yes</v>
          </cell>
          <cell r="M298"/>
        </row>
        <row r="299">
          <cell r="D299">
            <v>8968557148</v>
          </cell>
          <cell r="E299" t="str">
            <v>04/20/2009</v>
          </cell>
          <cell r="F299" t="str">
            <v>M</v>
          </cell>
          <cell r="G299">
            <v>11</v>
          </cell>
          <cell r="H299" t="str">
            <v>Autism (AUT)</v>
          </cell>
          <cell r="I299" t="str">
            <v>Y</v>
          </cell>
          <cell r="J299" t="str">
            <v>Declined to state/Unknown</v>
          </cell>
          <cell r="K299" t="str">
            <v>SE - WE - CHINO HS</v>
          </cell>
          <cell r="L299" t="str">
            <v>Yes</v>
          </cell>
          <cell r="M299"/>
        </row>
        <row r="300">
          <cell r="D300">
            <v>3798221938</v>
          </cell>
          <cell r="E300" t="str">
            <v>11/19/2009</v>
          </cell>
          <cell r="F300" t="str">
            <v>F</v>
          </cell>
          <cell r="G300">
            <v>10</v>
          </cell>
          <cell r="H300" t="str">
            <v>Hard of Hearing (HH)</v>
          </cell>
          <cell r="I300" t="str">
            <v>Y</v>
          </cell>
          <cell r="J300" t="str">
            <v>Declined to state/Unknown</v>
          </cell>
          <cell r="K300" t="str">
            <v>SE - DM - HESPERIA SR</v>
          </cell>
          <cell r="L300" t="str">
            <v>Yes</v>
          </cell>
          <cell r="M300"/>
        </row>
        <row r="301">
          <cell r="D301">
            <v>4557361893</v>
          </cell>
          <cell r="E301" t="str">
            <v>06/18/2004</v>
          </cell>
          <cell r="F301" t="str">
            <v>M</v>
          </cell>
          <cell r="G301">
            <v>12</v>
          </cell>
          <cell r="H301" t="str">
            <v>Intellectual Disability (ID)</v>
          </cell>
          <cell r="I301" t="str">
            <v>Y</v>
          </cell>
          <cell r="J301" t="str">
            <v>Declined to state/Unknown</v>
          </cell>
          <cell r="K301" t="str">
            <v>SE - DM - HESPERIA STAR</v>
          </cell>
          <cell r="L301" t="str">
            <v>Yes</v>
          </cell>
          <cell r="M301"/>
        </row>
        <row r="302">
          <cell r="D302">
            <v>2334311785</v>
          </cell>
          <cell r="E302" t="str">
            <v>11/19/2009</v>
          </cell>
          <cell r="F302" t="str">
            <v>F</v>
          </cell>
          <cell r="G302">
            <v>10</v>
          </cell>
          <cell r="H302" t="str">
            <v>Hard of Hearing (HH)</v>
          </cell>
          <cell r="I302" t="str">
            <v>Y</v>
          </cell>
          <cell r="J302" t="str">
            <v>Declined to state/Unknown</v>
          </cell>
          <cell r="K302" t="str">
            <v>SE - DM - HESPERIA SR</v>
          </cell>
          <cell r="L302" t="str">
            <v>Yes</v>
          </cell>
          <cell r="M302"/>
        </row>
        <row r="303">
          <cell r="D303">
            <v>6543885780</v>
          </cell>
          <cell r="E303" t="str">
            <v>03/15/2009</v>
          </cell>
          <cell r="F303" t="str">
            <v>F</v>
          </cell>
          <cell r="G303">
            <v>11</v>
          </cell>
          <cell r="H303" t="str">
            <v>Autism (AUT)</v>
          </cell>
          <cell r="I303" t="str">
            <v>Y</v>
          </cell>
          <cell r="J303" t="str">
            <v>Declined to state/Unknown</v>
          </cell>
          <cell r="K303" t="str">
            <v>SE - DM - BARSTOW JH</v>
          </cell>
          <cell r="L303" t="str">
            <v>Yes</v>
          </cell>
          <cell r="M303"/>
        </row>
        <row r="304">
          <cell r="D304">
            <v>7641592560</v>
          </cell>
          <cell r="E304" t="str">
            <v>06/12/2009</v>
          </cell>
          <cell r="F304" t="str">
            <v>M</v>
          </cell>
          <cell r="G304">
            <v>11</v>
          </cell>
          <cell r="H304" t="str">
            <v>Other Health Impairment (OHI)</v>
          </cell>
          <cell r="I304" t="str">
            <v>N</v>
          </cell>
          <cell r="J304" t="str">
            <v>Black or African American</v>
          </cell>
          <cell r="K304" t="str">
            <v>CS - VICTORVILLE EDUCATION CENTER SECOND PROGRAM</v>
          </cell>
          <cell r="L304" t="str">
            <v>Yes</v>
          </cell>
          <cell r="M304"/>
        </row>
        <row r="305">
          <cell r="D305">
            <v>3707635228</v>
          </cell>
          <cell r="E305" t="str">
            <v>11/28/2010</v>
          </cell>
          <cell r="F305" t="str">
            <v>M</v>
          </cell>
          <cell r="G305">
            <v>9</v>
          </cell>
          <cell r="H305" t="str">
            <v>Autism (AUT)</v>
          </cell>
          <cell r="I305" t="str">
            <v>N</v>
          </cell>
          <cell r="J305" t="str">
            <v>Black or African American</v>
          </cell>
          <cell r="K305" t="str">
            <v>SE - DM - VISION ALT LEARNING ACADEMY</v>
          </cell>
          <cell r="L305" t="str">
            <v>Yes</v>
          </cell>
          <cell r="M305"/>
        </row>
        <row r="306">
          <cell r="D306">
            <v>6556017407</v>
          </cell>
          <cell r="E306" t="str">
            <v>03/14/2006</v>
          </cell>
          <cell r="F306" t="str">
            <v>M</v>
          </cell>
          <cell r="G306">
            <v>12</v>
          </cell>
          <cell r="H306" t="str">
            <v>Autism (AUT)</v>
          </cell>
          <cell r="I306" t="str">
            <v>N</v>
          </cell>
          <cell r="J306" t="str">
            <v>Vietnamese</v>
          </cell>
          <cell r="K306" t="str">
            <v>SE - WE - COLONY HS</v>
          </cell>
          <cell r="L306" t="str">
            <v>Yes</v>
          </cell>
          <cell r="M306"/>
        </row>
        <row r="307">
          <cell r="D307">
            <v>8431653688</v>
          </cell>
          <cell r="E307" t="str">
            <v>02/26/2010</v>
          </cell>
          <cell r="F307" t="str">
            <v>M</v>
          </cell>
          <cell r="G307">
            <v>10</v>
          </cell>
          <cell r="H307" t="str">
            <v>Hard of Hearing (HH)</v>
          </cell>
          <cell r="I307" t="str">
            <v>N</v>
          </cell>
          <cell r="J307" t="str">
            <v>Black or African American</v>
          </cell>
          <cell r="K307" t="str">
            <v>SE - DM - VICTOR VALLEY SR</v>
          </cell>
          <cell r="L307" t="str">
            <v>Yes</v>
          </cell>
          <cell r="M307"/>
        </row>
        <row r="308">
          <cell r="D308">
            <v>7659128621</v>
          </cell>
          <cell r="E308" t="str">
            <v>03/09/2010</v>
          </cell>
          <cell r="F308" t="str">
            <v>M</v>
          </cell>
          <cell r="G308">
            <v>10</v>
          </cell>
          <cell r="H308" t="str">
            <v>Autism (AUT)</v>
          </cell>
          <cell r="I308" t="str">
            <v>Y</v>
          </cell>
          <cell r="J308" t="str">
            <v>Declined to state/Unknown</v>
          </cell>
          <cell r="K308" t="str">
            <v>SE - DM - COBALT IMS</v>
          </cell>
          <cell r="L308" t="str">
            <v>Yes</v>
          </cell>
          <cell r="M308"/>
        </row>
        <row r="309">
          <cell r="D309">
            <v>4597693097</v>
          </cell>
          <cell r="E309" t="str">
            <v>06/24/2009</v>
          </cell>
          <cell r="F309" t="str">
            <v>M</v>
          </cell>
          <cell r="G309">
            <v>11</v>
          </cell>
          <cell r="H309" t="str">
            <v>Autism (AUT)</v>
          </cell>
          <cell r="I309" t="str">
            <v>N</v>
          </cell>
          <cell r="J309" t="str">
            <v>White</v>
          </cell>
          <cell r="K309" t="str">
            <v>SE - DM - HESPERIA SR</v>
          </cell>
          <cell r="L309" t="str">
            <v>Yes</v>
          </cell>
          <cell r="M309"/>
        </row>
        <row r="310">
          <cell r="D310">
            <v>1307223325</v>
          </cell>
          <cell r="E310" t="str">
            <v>07/19/2025</v>
          </cell>
          <cell r="F310" t="str">
            <v>F</v>
          </cell>
          <cell r="G310">
            <v>16</v>
          </cell>
          <cell r="H310" t="str">
            <v>Hard of Hearing (HH)</v>
          </cell>
          <cell r="I310" t="str">
            <v>N</v>
          </cell>
          <cell r="J310" t="str">
            <v>Chinese</v>
          </cell>
          <cell r="K310" t="str">
            <v>SE - WE - EARLY START</v>
          </cell>
          <cell r="L310" t="str">
            <v>Yes</v>
          </cell>
          <cell r="M310"/>
        </row>
        <row r="311">
          <cell r="D311">
            <v>1450490308</v>
          </cell>
          <cell r="E311" t="str">
            <v>04/08/2024</v>
          </cell>
          <cell r="F311" t="str">
            <v>F</v>
          </cell>
          <cell r="G311">
            <v>16</v>
          </cell>
          <cell r="H311" t="str">
            <v>Other Health Impairment (OHI)</v>
          </cell>
          <cell r="I311" t="str">
            <v>N</v>
          </cell>
          <cell r="J311" t="str">
            <v>Chinese</v>
          </cell>
          <cell r="K311" t="str">
            <v>SE - WE - EARLY START</v>
          </cell>
          <cell r="L311" t="str">
            <v>Yes</v>
          </cell>
          <cell r="M311"/>
        </row>
        <row r="312">
          <cell r="D312">
            <v>2541421067</v>
          </cell>
          <cell r="E312" t="str">
            <v>05/17/2010</v>
          </cell>
          <cell r="F312" t="str">
            <v>M</v>
          </cell>
          <cell r="G312">
            <v>9</v>
          </cell>
          <cell r="H312" t="str">
            <v>Emotional Disturbance (ED)</v>
          </cell>
          <cell r="I312" t="str">
            <v>N</v>
          </cell>
          <cell r="J312" t="str">
            <v>Black or African American</v>
          </cell>
          <cell r="K312" t="str">
            <v>SE - DM - VISION ALT LEARNING ACADEMY</v>
          </cell>
          <cell r="L312" t="str">
            <v>Yes</v>
          </cell>
          <cell r="M312"/>
        </row>
        <row r="313">
          <cell r="D313">
            <v>7028109437</v>
          </cell>
          <cell r="E313" t="str">
            <v>06/12/2009</v>
          </cell>
          <cell r="F313" t="str">
            <v>M</v>
          </cell>
          <cell r="G313">
            <v>11</v>
          </cell>
          <cell r="H313" t="str">
            <v>Intellectual Disability (ID)</v>
          </cell>
          <cell r="I313" t="str">
            <v>N</v>
          </cell>
          <cell r="J313" t="str">
            <v>White</v>
          </cell>
          <cell r="K313" t="str">
            <v>SE - WE - ALTA LOMA HS</v>
          </cell>
          <cell r="L313" t="str">
            <v>Yes</v>
          </cell>
          <cell r="M313"/>
        </row>
        <row r="314">
          <cell r="D314">
            <v>6798199860</v>
          </cell>
          <cell r="E314" t="str">
            <v>07/09/2008</v>
          </cell>
          <cell r="F314" t="str">
            <v>F</v>
          </cell>
          <cell r="G314">
            <v>12</v>
          </cell>
          <cell r="H314" t="str">
            <v>Hard of Hearing (HH)</v>
          </cell>
          <cell r="I314" t="str">
            <v>Y</v>
          </cell>
          <cell r="J314" t="str">
            <v>White</v>
          </cell>
          <cell r="K314" t="str">
            <v>SE - DM - HESPERIA SR</v>
          </cell>
          <cell r="L314" t="str">
            <v>Yes</v>
          </cell>
          <cell r="M314"/>
        </row>
        <row r="315">
          <cell r="D315">
            <v>5463294164</v>
          </cell>
          <cell r="E315" t="str">
            <v>11/04/2023</v>
          </cell>
          <cell r="F315" t="str">
            <v>F</v>
          </cell>
          <cell r="G315">
            <v>16</v>
          </cell>
          <cell r="H315" t="str">
            <v>Hard of Hearing (HH)</v>
          </cell>
          <cell r="I315" t="str">
            <v>N</v>
          </cell>
          <cell r="J315" t="str">
            <v>Black or African American</v>
          </cell>
          <cell r="K315" t="str">
            <v>SE - DM - EARLY START</v>
          </cell>
          <cell r="L315" t="str">
            <v>Yes</v>
          </cell>
          <cell r="M315"/>
        </row>
        <row r="316">
          <cell r="D316">
            <v>9978437417</v>
          </cell>
          <cell r="E316" t="str">
            <v>03/28/2009</v>
          </cell>
          <cell r="F316" t="str">
            <v>M</v>
          </cell>
          <cell r="G316">
            <v>11</v>
          </cell>
          <cell r="H316" t="str">
            <v>Multiple Disability (MD)</v>
          </cell>
          <cell r="I316" t="str">
            <v>Y</v>
          </cell>
          <cell r="J316" t="str">
            <v>White</v>
          </cell>
          <cell r="K316" t="str">
            <v>SE - WE - LOS OSOS HS</v>
          </cell>
          <cell r="L316" t="str">
            <v>Yes</v>
          </cell>
          <cell r="M316"/>
        </row>
        <row r="317">
          <cell r="D317">
            <v>1482955470</v>
          </cell>
          <cell r="E317" t="str">
            <v>02/17/2006</v>
          </cell>
          <cell r="F317" t="str">
            <v>M</v>
          </cell>
          <cell r="G317">
            <v>12</v>
          </cell>
          <cell r="H317" t="str">
            <v>Intellectual Disability (ID)</v>
          </cell>
          <cell r="I317" t="str">
            <v>Y</v>
          </cell>
          <cell r="J317" t="str">
            <v>White</v>
          </cell>
          <cell r="K317" t="str">
            <v>SE - DM - HESPERIA STAR</v>
          </cell>
          <cell r="L317" t="str">
            <v>Yes</v>
          </cell>
          <cell r="M317"/>
        </row>
        <row r="318">
          <cell r="D318">
            <v>9186318911</v>
          </cell>
          <cell r="E318" t="str">
            <v>11/01/2004</v>
          </cell>
          <cell r="F318" t="str">
            <v>F</v>
          </cell>
          <cell r="G318">
            <v>12</v>
          </cell>
          <cell r="H318" t="str">
            <v>Intellectual Disability (ID)</v>
          </cell>
          <cell r="I318" t="str">
            <v>N</v>
          </cell>
          <cell r="J318" t="str">
            <v>Black or African American</v>
          </cell>
          <cell r="K318" t="str">
            <v>SE - DM - VICTOR VALLEY SR</v>
          </cell>
          <cell r="L318" t="str">
            <v>Yes</v>
          </cell>
          <cell r="M318"/>
        </row>
        <row r="319">
          <cell r="D319">
            <v>4078639697</v>
          </cell>
          <cell r="E319" t="str">
            <v>12/07/2007</v>
          </cell>
          <cell r="F319" t="str">
            <v>M</v>
          </cell>
          <cell r="G319">
            <v>12</v>
          </cell>
          <cell r="H319" t="str">
            <v>Multiple Disability (MD)</v>
          </cell>
          <cell r="I319" t="str">
            <v>N</v>
          </cell>
          <cell r="J319" t="str">
            <v>Black or African American</v>
          </cell>
          <cell r="K319" t="str">
            <v>SE - DM - COBALT IMS</v>
          </cell>
          <cell r="L319" t="str">
            <v>Yes</v>
          </cell>
          <cell r="M319"/>
        </row>
        <row r="320">
          <cell r="D320">
            <v>5419739586</v>
          </cell>
          <cell r="E320" t="str">
            <v>02/01/2007</v>
          </cell>
          <cell r="F320" t="str">
            <v>F</v>
          </cell>
          <cell r="G320">
            <v>12</v>
          </cell>
          <cell r="H320" t="str">
            <v>Autism (AUT)</v>
          </cell>
          <cell r="I320" t="str">
            <v>N</v>
          </cell>
          <cell r="J320" t="str">
            <v>Black or African American</v>
          </cell>
          <cell r="K320" t="str">
            <v>SE - HOME HOSPITAL</v>
          </cell>
          <cell r="L320" t="str">
            <v>Yes</v>
          </cell>
          <cell r="M320"/>
        </row>
        <row r="321">
          <cell r="D321">
            <v>9170131566</v>
          </cell>
          <cell r="E321" t="str">
            <v>11/23/2007</v>
          </cell>
          <cell r="F321" t="str">
            <v>F</v>
          </cell>
          <cell r="G321">
            <v>12</v>
          </cell>
          <cell r="H321" t="str">
            <v>Specific Learning Disability (SLD)</v>
          </cell>
          <cell r="I321" t="str">
            <v>N</v>
          </cell>
          <cell r="J321" t="str">
            <v>Hawaiian</v>
          </cell>
          <cell r="K321" t="str">
            <v>CS - VICTORVILLE EDUCATION CENTER SECOND PROGRAM</v>
          </cell>
          <cell r="L321" t="str">
            <v>Yes</v>
          </cell>
          <cell r="M321"/>
        </row>
        <row r="322">
          <cell r="D322">
            <v>9148038895</v>
          </cell>
          <cell r="E322" t="str">
            <v>04/30/2009</v>
          </cell>
          <cell r="F322" t="str">
            <v>M</v>
          </cell>
          <cell r="G322">
            <v>11</v>
          </cell>
          <cell r="H322" t="str">
            <v>Autism (AUT)</v>
          </cell>
          <cell r="I322" t="str">
            <v>N</v>
          </cell>
          <cell r="J322" t="str">
            <v>Black or African American</v>
          </cell>
          <cell r="K322" t="str">
            <v>SE - WE - COLONY HS</v>
          </cell>
          <cell r="L322" t="str">
            <v>Yes</v>
          </cell>
          <cell r="M322"/>
        </row>
        <row r="323">
          <cell r="D323">
            <v>9756727716</v>
          </cell>
          <cell r="E323" t="str">
            <v>02/21/2010</v>
          </cell>
          <cell r="F323" t="str">
            <v>F</v>
          </cell>
          <cell r="G323">
            <v>10</v>
          </cell>
          <cell r="H323" t="str">
            <v>Orthopedic Impairment (OI)</v>
          </cell>
          <cell r="I323" t="str">
            <v>Y</v>
          </cell>
          <cell r="J323" t="str">
            <v>White</v>
          </cell>
          <cell r="K323" t="str">
            <v>SE - EV - COLTON HS 2</v>
          </cell>
          <cell r="L323" t="str">
            <v>Yes</v>
          </cell>
          <cell r="M323"/>
        </row>
        <row r="324">
          <cell r="D324">
            <v>2432448191</v>
          </cell>
          <cell r="E324" t="str">
            <v>04/04/2011</v>
          </cell>
          <cell r="F324" t="str">
            <v>M</v>
          </cell>
          <cell r="G324">
            <v>9</v>
          </cell>
          <cell r="H324" t="str">
            <v>Orthopedic Impairment (OI)</v>
          </cell>
          <cell r="I324" t="str">
            <v>Y</v>
          </cell>
          <cell r="J324" t="str">
            <v>Declined to state/Unknown</v>
          </cell>
          <cell r="K324" t="str">
            <v>SE - DM - VICTOR VALLEY SR</v>
          </cell>
          <cell r="L324" t="str">
            <v>Yes</v>
          </cell>
          <cell r="M324"/>
        </row>
        <row r="325">
          <cell r="D325">
            <v>9169001458</v>
          </cell>
          <cell r="E325" t="str">
            <v>04/03/2025</v>
          </cell>
          <cell r="F325" t="str">
            <v>M</v>
          </cell>
          <cell r="G325">
            <v>16</v>
          </cell>
          <cell r="H325" t="str">
            <v>Hard of Hearing (HH)</v>
          </cell>
          <cell r="I325" t="str">
            <v>Y</v>
          </cell>
          <cell r="J325" t="str">
            <v>White</v>
          </cell>
          <cell r="K325" t="str">
            <v>SE - DM - EARLY START</v>
          </cell>
          <cell r="L325" t="str">
            <v>Yes</v>
          </cell>
          <cell r="M325"/>
        </row>
        <row r="326">
          <cell r="D326">
            <v>3640392011</v>
          </cell>
          <cell r="E326" t="str">
            <v>10/20/2008</v>
          </cell>
          <cell r="F326" t="str">
            <v>M</v>
          </cell>
          <cell r="G326">
            <v>11</v>
          </cell>
          <cell r="H326" t="str">
            <v>Intellectual Disability (ID)</v>
          </cell>
          <cell r="I326" t="str">
            <v>Y</v>
          </cell>
          <cell r="J326" t="str">
            <v>Declined to state/Unknown</v>
          </cell>
          <cell r="K326" t="str">
            <v>SE - HOME HOSPITAL</v>
          </cell>
          <cell r="L326" t="str">
            <v>Yes</v>
          </cell>
          <cell r="M326"/>
        </row>
        <row r="327">
          <cell r="D327">
            <v>9316889190</v>
          </cell>
          <cell r="E327" t="str">
            <v>05/09/2011</v>
          </cell>
          <cell r="F327" t="str">
            <v>M</v>
          </cell>
          <cell r="G327">
            <v>9</v>
          </cell>
          <cell r="H327" t="str">
            <v>Intellectual Disability (ID)</v>
          </cell>
          <cell r="I327" t="str">
            <v>N</v>
          </cell>
          <cell r="J327" t="str">
            <v>Chinese</v>
          </cell>
          <cell r="K327" t="str">
            <v>SE - WE - CHINO HS</v>
          </cell>
          <cell r="L327" t="str">
            <v>Yes</v>
          </cell>
          <cell r="M327"/>
        </row>
        <row r="328">
          <cell r="D328">
            <v>6682787008</v>
          </cell>
          <cell r="E328" t="str">
            <v>01/04/2011</v>
          </cell>
          <cell r="F328" t="str">
            <v>M</v>
          </cell>
          <cell r="G328">
            <v>9</v>
          </cell>
          <cell r="H328" t="str">
            <v>Intellectual Disability (ID)</v>
          </cell>
          <cell r="I328" t="str">
            <v>N</v>
          </cell>
          <cell r="J328" t="str">
            <v>White</v>
          </cell>
          <cell r="K328" t="str">
            <v>SE - DM - LUCERNE SR</v>
          </cell>
          <cell r="L328" t="str">
            <v>Yes</v>
          </cell>
          <cell r="M328"/>
        </row>
        <row r="329">
          <cell r="D329">
            <v>2456630212</v>
          </cell>
          <cell r="E329" t="str">
            <v>04/26/2010</v>
          </cell>
          <cell r="F329" t="str">
            <v>F</v>
          </cell>
          <cell r="G329">
            <v>10</v>
          </cell>
          <cell r="H329" t="str">
            <v>Intellectual Disability (ID)</v>
          </cell>
          <cell r="I329" t="str">
            <v>N</v>
          </cell>
          <cell r="J329" t="str">
            <v>Black or African American</v>
          </cell>
          <cell r="K329" t="str">
            <v>SE - DM - VICTOR VALLEY SR</v>
          </cell>
          <cell r="L329" t="str">
            <v>Yes</v>
          </cell>
          <cell r="M329"/>
        </row>
        <row r="330">
          <cell r="D330">
            <v>7590280397</v>
          </cell>
          <cell r="E330" t="str">
            <v>08/24/2007</v>
          </cell>
          <cell r="F330" t="str">
            <v>M</v>
          </cell>
          <cell r="G330">
            <v>12</v>
          </cell>
          <cell r="H330" t="str">
            <v>Autism (AUT)</v>
          </cell>
          <cell r="I330" t="str">
            <v>N</v>
          </cell>
          <cell r="J330" t="str">
            <v>Black or African American</v>
          </cell>
          <cell r="K330" t="str">
            <v>SE - DM - SERRANO</v>
          </cell>
          <cell r="L330" t="str">
            <v>Yes</v>
          </cell>
          <cell r="M330"/>
        </row>
        <row r="331">
          <cell r="D331">
            <v>7941493135</v>
          </cell>
          <cell r="E331" t="str">
            <v>03/26/2008</v>
          </cell>
          <cell r="F331" t="str">
            <v>M</v>
          </cell>
          <cell r="G331">
            <v>12</v>
          </cell>
          <cell r="H331" t="str">
            <v>Multiple Disability (MD)</v>
          </cell>
          <cell r="I331" t="str">
            <v>N</v>
          </cell>
          <cell r="J331" t="str">
            <v>Black or African American</v>
          </cell>
          <cell r="K331" t="str">
            <v>SE - DM - BARSTOW JH</v>
          </cell>
          <cell r="L331" t="str">
            <v>Yes</v>
          </cell>
          <cell r="M331"/>
        </row>
        <row r="332">
          <cell r="D332">
            <v>5267022412</v>
          </cell>
          <cell r="E332" t="str">
            <v>10/02/2009</v>
          </cell>
          <cell r="F332" t="str">
            <v>M</v>
          </cell>
          <cell r="G332">
            <v>10</v>
          </cell>
          <cell r="H332" t="str">
            <v>Specific Learning Disability (SLD)</v>
          </cell>
          <cell r="I332" t="str">
            <v>N</v>
          </cell>
          <cell r="J332" t="str">
            <v>Black or African American</v>
          </cell>
          <cell r="K332" t="str">
            <v>CS - TRI CITY CS</v>
          </cell>
          <cell r="L332" t="str">
            <v>Yes</v>
          </cell>
          <cell r="M332"/>
        </row>
        <row r="333">
          <cell r="D333">
            <v>5186138152</v>
          </cell>
          <cell r="E333" t="str">
            <v>06/17/2004</v>
          </cell>
          <cell r="F333" t="str">
            <v>M</v>
          </cell>
          <cell r="G333">
            <v>12</v>
          </cell>
          <cell r="H333" t="str">
            <v>Intellectual Disability (ID)</v>
          </cell>
          <cell r="I333" t="str">
            <v>Y</v>
          </cell>
          <cell r="J333" t="str">
            <v>Black or African American</v>
          </cell>
          <cell r="K333" t="str">
            <v>SE - EV - COLTON HS</v>
          </cell>
          <cell r="L333" t="str">
            <v>Yes</v>
          </cell>
          <cell r="M333"/>
        </row>
        <row r="334">
          <cell r="D334">
            <v>1272294887</v>
          </cell>
          <cell r="E334" t="str">
            <v>06/10/2010</v>
          </cell>
          <cell r="F334" t="str">
            <v>F</v>
          </cell>
          <cell r="G334">
            <v>9</v>
          </cell>
          <cell r="H334" t="str">
            <v>Autism (AUT)</v>
          </cell>
          <cell r="I334" t="str">
            <v>N</v>
          </cell>
          <cell r="J334" t="str">
            <v>Black or African American</v>
          </cell>
          <cell r="K334" t="str">
            <v>SE - DM - COBALT IMS</v>
          </cell>
          <cell r="L334" t="str">
            <v>Yes</v>
          </cell>
          <cell r="M334"/>
        </row>
        <row r="335">
          <cell r="D335">
            <v>9185612062</v>
          </cell>
          <cell r="E335" t="str">
            <v>01/26/2010</v>
          </cell>
          <cell r="F335" t="str">
            <v>M</v>
          </cell>
          <cell r="G335">
            <v>10</v>
          </cell>
          <cell r="H335" t="str">
            <v>Emotional Disturbance (ED)</v>
          </cell>
          <cell r="I335" t="str">
            <v>N</v>
          </cell>
          <cell r="J335" t="str">
            <v>Black or African American</v>
          </cell>
          <cell r="K335" t="str">
            <v>SE - WE - GIBSON HS</v>
          </cell>
          <cell r="L335" t="str">
            <v>Yes</v>
          </cell>
          <cell r="M335"/>
        </row>
        <row r="336">
          <cell r="D336">
            <v>9105624191</v>
          </cell>
          <cell r="E336" t="str">
            <v>10/14/2010</v>
          </cell>
          <cell r="F336" t="str">
            <v>M</v>
          </cell>
          <cell r="G336">
            <v>9</v>
          </cell>
          <cell r="H336" t="str">
            <v>Multiple Disability (MD)</v>
          </cell>
          <cell r="I336" t="str">
            <v>N</v>
          </cell>
          <cell r="J336" t="str">
            <v>Asian Indian</v>
          </cell>
          <cell r="K336" t="str">
            <v>SE - WE - LOS OSOS HS</v>
          </cell>
          <cell r="L336" t="str">
            <v>Yes</v>
          </cell>
          <cell r="M336"/>
        </row>
        <row r="337">
          <cell r="D337">
            <v>4190664014</v>
          </cell>
          <cell r="E337" t="str">
            <v>07/31/2010</v>
          </cell>
          <cell r="F337" t="str">
            <v>F</v>
          </cell>
          <cell r="G337">
            <v>10</v>
          </cell>
          <cell r="H337" t="str">
            <v>Autism (AUT)</v>
          </cell>
          <cell r="I337" t="str">
            <v>N</v>
          </cell>
          <cell r="J337" t="str">
            <v>Black or African American</v>
          </cell>
          <cell r="K337" t="str">
            <v>SE - DM - SULTANA</v>
          </cell>
          <cell r="L337" t="str">
            <v>Yes</v>
          </cell>
          <cell r="M337"/>
        </row>
        <row r="338">
          <cell r="D338">
            <v>2471510632</v>
          </cell>
          <cell r="E338" t="str">
            <v>07/31/2010</v>
          </cell>
          <cell r="F338" t="str">
            <v>M</v>
          </cell>
          <cell r="G338">
            <v>10</v>
          </cell>
          <cell r="H338" t="str">
            <v>Autism (AUT)</v>
          </cell>
          <cell r="I338" t="str">
            <v>N</v>
          </cell>
          <cell r="J338" t="str">
            <v>Black or African American</v>
          </cell>
          <cell r="K338" t="str">
            <v>SE - DM - SULTANA</v>
          </cell>
          <cell r="L338" t="str">
            <v>Yes</v>
          </cell>
          <cell r="M338"/>
        </row>
        <row r="339">
          <cell r="D339">
            <v>2405336218</v>
          </cell>
          <cell r="E339" t="str">
            <v>04/07/2025</v>
          </cell>
          <cell r="F339" t="str">
            <v>M</v>
          </cell>
          <cell r="G339">
            <v>16</v>
          </cell>
          <cell r="H339" t="str">
            <v>Other Health Impairment (OHI)</v>
          </cell>
          <cell r="I339" t="str">
            <v>Y</v>
          </cell>
          <cell r="J339" t="str">
            <v>Filipino</v>
          </cell>
          <cell r="K339" t="str">
            <v>SE - EV - EARLY START</v>
          </cell>
          <cell r="L339" t="str">
            <v>Yes</v>
          </cell>
          <cell r="M339"/>
        </row>
        <row r="340">
          <cell r="D340">
            <v>7034544753</v>
          </cell>
          <cell r="E340" t="str">
            <v>03/27/2009</v>
          </cell>
          <cell r="F340" t="str">
            <v>M</v>
          </cell>
          <cell r="G340">
            <v>10</v>
          </cell>
          <cell r="H340" t="str">
            <v>Autism (AUT)</v>
          </cell>
          <cell r="I340" t="str">
            <v>N</v>
          </cell>
          <cell r="J340" t="str">
            <v>Black or African American</v>
          </cell>
          <cell r="K340" t="str">
            <v>JCS - EAST VALLEY JUV COURT SCHOOL</v>
          </cell>
          <cell r="L340" t="str">
            <v>Yes</v>
          </cell>
          <cell r="M340"/>
        </row>
        <row r="341">
          <cell r="D341">
            <v>7194132876</v>
          </cell>
          <cell r="E341" t="str">
            <v>02/08/2006</v>
          </cell>
          <cell r="F341" t="str">
            <v>M</v>
          </cell>
          <cell r="G341">
            <v>12</v>
          </cell>
          <cell r="H341" t="str">
            <v>Multiple Disability (MD)</v>
          </cell>
          <cell r="I341" t="str">
            <v>N</v>
          </cell>
          <cell r="J341" t="str">
            <v>Other Pacific Islander</v>
          </cell>
          <cell r="K341" t="str">
            <v>SE - DM - COBALT IMS</v>
          </cell>
          <cell r="L341" t="str">
            <v>Yes</v>
          </cell>
          <cell r="M341"/>
        </row>
        <row r="342">
          <cell r="D342">
            <v>6186317354</v>
          </cell>
          <cell r="E342" t="str">
            <v>06/17/2005</v>
          </cell>
          <cell r="F342" t="str">
            <v>M</v>
          </cell>
          <cell r="G342">
            <v>12</v>
          </cell>
          <cell r="H342" t="str">
            <v>Autism (AUT)</v>
          </cell>
          <cell r="I342" t="str">
            <v>Y</v>
          </cell>
          <cell r="J342" t="str">
            <v>White</v>
          </cell>
          <cell r="K342" t="str">
            <v>SE - DM - NEEDLES SR</v>
          </cell>
          <cell r="L342" t="str">
            <v>Yes</v>
          </cell>
          <cell r="M342"/>
        </row>
        <row r="343">
          <cell r="D343">
            <v>4582745627</v>
          </cell>
          <cell r="E343" t="str">
            <v>01/15/2009</v>
          </cell>
          <cell r="F343" t="str">
            <v>F</v>
          </cell>
          <cell r="G343">
            <v>11</v>
          </cell>
          <cell r="H343" t="str">
            <v>Intellectual Disability (ID)</v>
          </cell>
          <cell r="I343" t="str">
            <v>Y</v>
          </cell>
          <cell r="J343" t="str">
            <v>White</v>
          </cell>
          <cell r="K343" t="str">
            <v>SE - DM - NEEDLES SR</v>
          </cell>
          <cell r="L343" t="str">
            <v>Yes</v>
          </cell>
          <cell r="M343"/>
        </row>
        <row r="344">
          <cell r="D344">
            <v>3161619685</v>
          </cell>
          <cell r="E344" t="str">
            <v>03/25/2008</v>
          </cell>
          <cell r="F344" t="str">
            <v>F</v>
          </cell>
          <cell r="G344">
            <v>12</v>
          </cell>
          <cell r="H344" t="str">
            <v>Multiple Disability (MD)</v>
          </cell>
          <cell r="I344" t="str">
            <v>N</v>
          </cell>
          <cell r="J344" t="str">
            <v>Black or African American</v>
          </cell>
          <cell r="K344" t="str">
            <v>SE - DM - COBALT IMS</v>
          </cell>
          <cell r="L344" t="str">
            <v>Yes</v>
          </cell>
          <cell r="M344"/>
        </row>
        <row r="345">
          <cell r="D345">
            <v>9433485718</v>
          </cell>
          <cell r="E345" t="str">
            <v>11/24/2009</v>
          </cell>
          <cell r="F345" t="str">
            <v>M</v>
          </cell>
          <cell r="G345">
            <v>10</v>
          </cell>
          <cell r="H345" t="str">
            <v>Specific Learning Disability (SLD)</v>
          </cell>
          <cell r="I345" t="str">
            <v>N</v>
          </cell>
          <cell r="J345" t="str">
            <v>White</v>
          </cell>
          <cell r="K345" t="str">
            <v>SE - INDEPENDENT STUDY</v>
          </cell>
          <cell r="L345" t="str">
            <v>Yes</v>
          </cell>
          <cell r="M345"/>
        </row>
        <row r="346">
          <cell r="D346">
            <v>6408958803</v>
          </cell>
          <cell r="E346" t="str">
            <v>05/26/2010</v>
          </cell>
          <cell r="F346" t="str">
            <v>M</v>
          </cell>
          <cell r="G346">
            <v>10</v>
          </cell>
          <cell r="H346" t="str">
            <v>Specific Learning Disability (SLD)</v>
          </cell>
          <cell r="I346" t="str">
            <v>Y</v>
          </cell>
          <cell r="J346" t="str">
            <v>American Indian or Alaskan Native</v>
          </cell>
          <cell r="K346" t="str">
            <v>CS - CHAFFEY WEST CS</v>
          </cell>
          <cell r="L346" t="str">
            <v>Yes</v>
          </cell>
          <cell r="M346"/>
        </row>
        <row r="347">
          <cell r="D347">
            <v>6239266560</v>
          </cell>
          <cell r="E347" t="str">
            <v>04/29/2023</v>
          </cell>
          <cell r="F347" t="str">
            <v>M</v>
          </cell>
          <cell r="G347">
            <v>16</v>
          </cell>
          <cell r="H347" t="str">
            <v>Speech or Language Impairment (SLI)</v>
          </cell>
          <cell r="I347" t="str">
            <v>N</v>
          </cell>
          <cell r="J347" t="str">
            <v>Black or African American</v>
          </cell>
          <cell r="K347" t="str">
            <v>SE - EV - EARLY START</v>
          </cell>
          <cell r="L347" t="str">
            <v>Yes</v>
          </cell>
          <cell r="M347"/>
        </row>
        <row r="348">
          <cell r="D348">
            <v>7010133265</v>
          </cell>
          <cell r="E348" t="str">
            <v>02/14/2008</v>
          </cell>
          <cell r="F348" t="str">
            <v>M</v>
          </cell>
          <cell r="G348">
            <v>11</v>
          </cell>
          <cell r="H348" t="str">
            <v>Specific Learning Disability (SLD)</v>
          </cell>
          <cell r="I348" t="str">
            <v>N</v>
          </cell>
          <cell r="J348" t="str">
            <v>White</v>
          </cell>
          <cell r="K348" t="str">
            <v>CS - BOB MURPHY CS</v>
          </cell>
          <cell r="L348" t="str">
            <v>Yes</v>
          </cell>
          <cell r="M348"/>
        </row>
        <row r="349">
          <cell r="D349">
            <v>6077441013</v>
          </cell>
          <cell r="E349" t="str">
            <v>06/30/2009</v>
          </cell>
          <cell r="F349" t="str">
            <v>M</v>
          </cell>
          <cell r="G349">
            <v>11</v>
          </cell>
          <cell r="H349" t="str">
            <v>Autism (AUT)</v>
          </cell>
          <cell r="I349" t="str">
            <v>Y</v>
          </cell>
          <cell r="J349" t="str">
            <v>White</v>
          </cell>
          <cell r="K349" t="str">
            <v>SE - EV - BARBARA PHELPS SP ED</v>
          </cell>
          <cell r="L349" t="str">
            <v>Yes</v>
          </cell>
          <cell r="M349"/>
        </row>
        <row r="350">
          <cell r="D350">
            <v>1363394272</v>
          </cell>
          <cell r="E350" t="str">
            <v>06/26/2024</v>
          </cell>
          <cell r="F350" t="str">
            <v>M</v>
          </cell>
          <cell r="G350">
            <v>16</v>
          </cell>
          <cell r="H350" t="str">
            <v>Visual Impairment (VI)</v>
          </cell>
          <cell r="I350" t="str">
            <v>Y</v>
          </cell>
          <cell r="J350" t="str">
            <v>White</v>
          </cell>
          <cell r="K350" t="str">
            <v>SE - WE - EARLY START</v>
          </cell>
          <cell r="L350" t="str">
            <v>Yes</v>
          </cell>
          <cell r="M350"/>
        </row>
        <row r="351">
          <cell r="D351">
            <v>8771462313</v>
          </cell>
          <cell r="E351" t="str">
            <v>03/25/2009</v>
          </cell>
          <cell r="F351" t="str">
            <v>M</v>
          </cell>
          <cell r="G351">
            <v>11</v>
          </cell>
          <cell r="H351" t="str">
            <v>Autism (AUT)</v>
          </cell>
          <cell r="I351" t="str">
            <v>N</v>
          </cell>
          <cell r="J351" t="str">
            <v>Black or African American</v>
          </cell>
          <cell r="K351" t="str">
            <v>SE - DM - COBALT IMS</v>
          </cell>
          <cell r="L351" t="str">
            <v>Yes</v>
          </cell>
          <cell r="M351"/>
        </row>
        <row r="352">
          <cell r="D352">
            <v>1817294310</v>
          </cell>
          <cell r="E352" t="str">
            <v>10/21/2023</v>
          </cell>
          <cell r="F352" t="str">
            <v>F</v>
          </cell>
          <cell r="G352">
            <v>16</v>
          </cell>
          <cell r="H352" t="str">
            <v>Multiple Disability (MD)</v>
          </cell>
          <cell r="I352" t="str">
            <v>N</v>
          </cell>
          <cell r="J352" t="str">
            <v>White</v>
          </cell>
          <cell r="K352" t="str">
            <v>SE - EV - EARLY START</v>
          </cell>
          <cell r="L352" t="str">
            <v>Yes</v>
          </cell>
          <cell r="M352"/>
        </row>
        <row r="353">
          <cell r="D353">
            <v>1627897950</v>
          </cell>
          <cell r="E353" t="str">
            <v>10/21/2023</v>
          </cell>
          <cell r="F353" t="str">
            <v>M</v>
          </cell>
          <cell r="G353">
            <v>16</v>
          </cell>
          <cell r="H353" t="str">
            <v>Multiple Disability (MD)</v>
          </cell>
          <cell r="I353" t="str">
            <v>N</v>
          </cell>
          <cell r="J353" t="str">
            <v>White</v>
          </cell>
          <cell r="K353" t="str">
            <v>SE - EV - EARLY START</v>
          </cell>
          <cell r="L353" t="str">
            <v>Yes</v>
          </cell>
          <cell r="M353"/>
        </row>
        <row r="354">
          <cell r="D354">
            <v>8405445385</v>
          </cell>
          <cell r="E354" t="str">
            <v>07/05/2011</v>
          </cell>
          <cell r="F354" t="str">
            <v>M</v>
          </cell>
          <cell r="G354">
            <v>9</v>
          </cell>
          <cell r="H354" t="str">
            <v>Emotional Disturbance (ED)</v>
          </cell>
          <cell r="I354" t="str">
            <v>N</v>
          </cell>
          <cell r="J354" t="str">
            <v>Chinese</v>
          </cell>
          <cell r="K354" t="str">
            <v>SE - WE - GIBSON HS</v>
          </cell>
          <cell r="L354" t="str">
            <v>Yes</v>
          </cell>
          <cell r="M354"/>
        </row>
        <row r="355">
          <cell r="D355">
            <v>5431722658</v>
          </cell>
          <cell r="E355" t="str">
            <v>01/02/2024</v>
          </cell>
          <cell r="F355" t="str">
            <v>M</v>
          </cell>
          <cell r="G355">
            <v>16</v>
          </cell>
          <cell r="H355" t="str">
            <v>Speech or Language Impairment (SLI)</v>
          </cell>
          <cell r="I355" t="str">
            <v>Y</v>
          </cell>
          <cell r="J355" t="str">
            <v>White</v>
          </cell>
          <cell r="K355" t="str">
            <v>SE - EV - EARLY START</v>
          </cell>
          <cell r="L355" t="str">
            <v>Yes</v>
          </cell>
          <cell r="M355"/>
        </row>
        <row r="356">
          <cell r="D356">
            <v>8616535975</v>
          </cell>
          <cell r="E356" t="str">
            <v>01/03/2025</v>
          </cell>
          <cell r="F356" t="str">
            <v>M</v>
          </cell>
          <cell r="G356">
            <v>16</v>
          </cell>
          <cell r="H356" t="str">
            <v>Other Health Impairment (OHI)</v>
          </cell>
          <cell r="I356" t="str">
            <v>N</v>
          </cell>
          <cell r="J356" t="str">
            <v>Chinese</v>
          </cell>
          <cell r="K356" t="str">
            <v>SE - WE - EARLY START</v>
          </cell>
          <cell r="L356" t="str">
            <v>Yes</v>
          </cell>
          <cell r="M356"/>
        </row>
        <row r="357">
          <cell r="D357">
            <v>1723370556</v>
          </cell>
          <cell r="E357" t="str">
            <v>10/10/2008</v>
          </cell>
          <cell r="F357" t="str">
            <v>F</v>
          </cell>
          <cell r="G357">
            <v>12</v>
          </cell>
          <cell r="H357" t="str">
            <v>Autism (AUT)</v>
          </cell>
          <cell r="I357" t="str">
            <v>Y</v>
          </cell>
          <cell r="J357" t="str">
            <v>White</v>
          </cell>
          <cell r="K357" t="str">
            <v>SE - DM - SULTANA</v>
          </cell>
          <cell r="L357" t="str">
            <v>Yes</v>
          </cell>
          <cell r="M357"/>
        </row>
        <row r="358">
          <cell r="D358">
            <v>6208794268</v>
          </cell>
          <cell r="E358" t="str">
            <v>02/18/2011</v>
          </cell>
          <cell r="F358" t="str">
            <v>M</v>
          </cell>
          <cell r="G358">
            <v>9</v>
          </cell>
          <cell r="H358" t="str">
            <v>Intellectual Disability (ID)</v>
          </cell>
          <cell r="I358" t="str">
            <v>N</v>
          </cell>
          <cell r="J358" t="str">
            <v>White</v>
          </cell>
          <cell r="K358" t="str">
            <v>SE - DM - SULTANA</v>
          </cell>
          <cell r="L358" t="str">
            <v>Yes</v>
          </cell>
          <cell r="M358"/>
        </row>
        <row r="359">
          <cell r="D359">
            <v>4189466970</v>
          </cell>
          <cell r="E359" t="str">
            <v>02/08/2006</v>
          </cell>
          <cell r="F359" t="str">
            <v>M</v>
          </cell>
          <cell r="G359">
            <v>12</v>
          </cell>
          <cell r="H359" t="str">
            <v>Intellectual Disability (ID)</v>
          </cell>
          <cell r="I359" t="str">
            <v>N</v>
          </cell>
          <cell r="J359" t="str">
            <v>White</v>
          </cell>
          <cell r="K359" t="str">
            <v>SE - DM - SULTANA</v>
          </cell>
          <cell r="L359" t="str">
            <v>Yes</v>
          </cell>
          <cell r="M359"/>
        </row>
        <row r="360">
          <cell r="D360">
            <v>5035725652</v>
          </cell>
          <cell r="E360" t="str">
            <v>05/25/2011</v>
          </cell>
          <cell r="F360" t="str">
            <v>M</v>
          </cell>
          <cell r="G360">
            <v>9</v>
          </cell>
          <cell r="H360" t="str">
            <v>Autism (AUT)</v>
          </cell>
          <cell r="I360" t="str">
            <v>Y</v>
          </cell>
          <cell r="J360" t="str">
            <v>White</v>
          </cell>
          <cell r="K360" t="str">
            <v>SE - DM - NEEDLES SR</v>
          </cell>
          <cell r="L360" t="str">
            <v>Yes</v>
          </cell>
          <cell r="M360"/>
        </row>
        <row r="361">
          <cell r="D361">
            <v>5080545832</v>
          </cell>
          <cell r="E361" t="str">
            <v>08/17/2023</v>
          </cell>
          <cell r="F361" t="str">
            <v>F</v>
          </cell>
          <cell r="G361">
            <v>16</v>
          </cell>
          <cell r="H361" t="str">
            <v>Orthopedic Impairment (OI)</v>
          </cell>
          <cell r="I361" t="str">
            <v>Y</v>
          </cell>
          <cell r="J361" t="str">
            <v>Declined to state/Unknown</v>
          </cell>
          <cell r="K361" t="str">
            <v>SE - DM - EARLY START</v>
          </cell>
          <cell r="L361" t="str">
            <v>Yes</v>
          </cell>
          <cell r="M361"/>
        </row>
        <row r="362">
          <cell r="D362">
            <v>8152928763</v>
          </cell>
          <cell r="E362" t="str">
            <v>01/08/2011</v>
          </cell>
          <cell r="F362" t="str">
            <v>M</v>
          </cell>
          <cell r="G362">
            <v>9</v>
          </cell>
          <cell r="H362" t="str">
            <v>Multiple Disability (MD)</v>
          </cell>
          <cell r="I362" t="str">
            <v>N</v>
          </cell>
          <cell r="J362" t="str">
            <v>Black or African American</v>
          </cell>
          <cell r="K362" t="str">
            <v>SE - DM - GRANITE HILL</v>
          </cell>
          <cell r="L362" t="str">
            <v>Yes</v>
          </cell>
          <cell r="M362"/>
        </row>
        <row r="363">
          <cell r="D363">
            <v>4734765224</v>
          </cell>
          <cell r="E363" t="str">
            <v>01/12/2009</v>
          </cell>
          <cell r="F363" t="str">
            <v>M</v>
          </cell>
          <cell r="G363">
            <v>11</v>
          </cell>
          <cell r="H363" t="str">
            <v>Autism (AUT)</v>
          </cell>
          <cell r="I363" t="str">
            <v>Y</v>
          </cell>
          <cell r="J363" t="str">
            <v>White</v>
          </cell>
          <cell r="K363" t="str">
            <v>SE - WE - RANCHO CUC HS</v>
          </cell>
          <cell r="L363" t="str">
            <v>Yes</v>
          </cell>
          <cell r="M363"/>
        </row>
        <row r="364">
          <cell r="D364">
            <v>6544346400</v>
          </cell>
          <cell r="E364" t="str">
            <v>02/08/2011</v>
          </cell>
          <cell r="F364" t="str">
            <v>F</v>
          </cell>
          <cell r="G364">
            <v>9</v>
          </cell>
          <cell r="H364" t="str">
            <v>Intellectual Disability (ID)</v>
          </cell>
          <cell r="I364" t="str">
            <v>N</v>
          </cell>
          <cell r="J364" t="str">
            <v>White</v>
          </cell>
          <cell r="K364" t="str">
            <v>SE - DM - COBALT IMS</v>
          </cell>
          <cell r="L364" t="str">
            <v>Yes</v>
          </cell>
          <cell r="M364"/>
        </row>
        <row r="365">
          <cell r="D365">
            <v>8824074322</v>
          </cell>
          <cell r="E365" t="str">
            <v>03/08/2008</v>
          </cell>
          <cell r="F365" t="str">
            <v>M</v>
          </cell>
          <cell r="G365">
            <v>12</v>
          </cell>
          <cell r="H365" t="str">
            <v>Other Health Impairment (OHI)</v>
          </cell>
          <cell r="I365" t="str">
            <v>N</v>
          </cell>
          <cell r="J365" t="str">
            <v>Chinese</v>
          </cell>
          <cell r="K365" t="str">
            <v>SE - WE - GIBSON HS</v>
          </cell>
          <cell r="L365" t="str">
            <v>Yes</v>
          </cell>
          <cell r="M365"/>
        </row>
        <row r="366">
          <cell r="D366">
            <v>1482775380</v>
          </cell>
          <cell r="E366" t="str">
            <v>08/23/2023</v>
          </cell>
          <cell r="F366" t="str">
            <v>M</v>
          </cell>
          <cell r="G366">
            <v>16</v>
          </cell>
          <cell r="H366" t="str">
            <v>Other Health Impairment (OHI)</v>
          </cell>
          <cell r="I366" t="str">
            <v>N</v>
          </cell>
          <cell r="J366" t="str">
            <v>Chinese</v>
          </cell>
          <cell r="K366" t="str">
            <v>SE - WE - EARLY START</v>
          </cell>
          <cell r="L366" t="str">
            <v>Yes</v>
          </cell>
          <cell r="M366"/>
        </row>
        <row r="367">
          <cell r="D367">
            <v>2038855498</v>
          </cell>
          <cell r="E367" t="str">
            <v>08/06/2009</v>
          </cell>
          <cell r="F367" t="str">
            <v>M</v>
          </cell>
          <cell r="G367">
            <v>11</v>
          </cell>
          <cell r="H367" t="str">
            <v>Intellectual Disability (ID)</v>
          </cell>
          <cell r="I367" t="str">
            <v>Y</v>
          </cell>
          <cell r="J367" t="str">
            <v>Declined to state/Unknown</v>
          </cell>
          <cell r="K367" t="str">
            <v>SE - WE - COLONY HS</v>
          </cell>
          <cell r="L367" t="str">
            <v>Yes</v>
          </cell>
          <cell r="M367"/>
        </row>
        <row r="368">
          <cell r="D368">
            <v>8198413918</v>
          </cell>
          <cell r="E368" t="str">
            <v>03/06/2004</v>
          </cell>
          <cell r="F368" t="str">
            <v>M</v>
          </cell>
          <cell r="G368">
            <v>12</v>
          </cell>
          <cell r="H368" t="str">
            <v>Intellectual Disability (ID)</v>
          </cell>
          <cell r="I368" t="str">
            <v>Y</v>
          </cell>
          <cell r="J368" t="str">
            <v>White</v>
          </cell>
          <cell r="K368" t="str">
            <v>SE - EV - COLTON HS</v>
          </cell>
          <cell r="L368" t="str">
            <v>Yes</v>
          </cell>
          <cell r="M368"/>
        </row>
        <row r="369">
          <cell r="D369">
            <v>8970797373</v>
          </cell>
          <cell r="E369" t="str">
            <v>07/07/2024</v>
          </cell>
          <cell r="F369" t="str">
            <v>F</v>
          </cell>
          <cell r="G369">
            <v>16</v>
          </cell>
          <cell r="H369" t="str">
            <v>Speech or Language Impairment (SLI)</v>
          </cell>
          <cell r="I369" t="str">
            <v>Y</v>
          </cell>
          <cell r="J369" t="str">
            <v>Other Pacific Islander</v>
          </cell>
          <cell r="K369" t="str">
            <v>SE - EV - EARLY START</v>
          </cell>
          <cell r="L369" t="str">
            <v>Yes</v>
          </cell>
          <cell r="M369"/>
        </row>
        <row r="370">
          <cell r="D370">
            <v>8055224291</v>
          </cell>
          <cell r="E370" t="str">
            <v>10/04/2007</v>
          </cell>
          <cell r="F370" t="str">
            <v>M</v>
          </cell>
          <cell r="G370">
            <v>12</v>
          </cell>
          <cell r="H370" t="str">
            <v>Specific Learning Disability (SLD)</v>
          </cell>
          <cell r="I370" t="str">
            <v>Y</v>
          </cell>
          <cell r="J370" t="str">
            <v>White</v>
          </cell>
          <cell r="K370" t="str">
            <v>JCS - EAST VALLEY JUV COURT SCHOOL</v>
          </cell>
          <cell r="L370" t="str">
            <v>Yes</v>
          </cell>
          <cell r="M370"/>
        </row>
        <row r="371">
          <cell r="D371">
            <v>7931791877</v>
          </cell>
          <cell r="E371" t="str">
            <v>06/02/2024</v>
          </cell>
          <cell r="F371" t="str">
            <v>M</v>
          </cell>
          <cell r="G371">
            <v>16</v>
          </cell>
          <cell r="H371" t="str">
            <v>Speech or Language Impairment (SLI)</v>
          </cell>
          <cell r="I371" t="str">
            <v>Y</v>
          </cell>
          <cell r="J371" t="str">
            <v>Declined to state/Unknown</v>
          </cell>
          <cell r="K371" t="str">
            <v>SE - EV - EARLY START</v>
          </cell>
          <cell r="L371" t="str">
            <v>Yes</v>
          </cell>
          <cell r="M371"/>
        </row>
        <row r="372">
          <cell r="D372">
            <v>3916293693</v>
          </cell>
          <cell r="E372" t="str">
            <v>02/23/2009</v>
          </cell>
          <cell r="F372" t="str">
            <v>M</v>
          </cell>
          <cell r="G372">
            <v>11</v>
          </cell>
          <cell r="H372" t="str">
            <v>Autism (AUT)</v>
          </cell>
          <cell r="I372" t="str">
            <v>Y</v>
          </cell>
          <cell r="J372" t="str">
            <v>White</v>
          </cell>
          <cell r="K372" t="str">
            <v>SE - DM - VICTOR VALLEY SR</v>
          </cell>
          <cell r="L372" t="str">
            <v>Yes</v>
          </cell>
          <cell r="M372"/>
        </row>
        <row r="373">
          <cell r="D373">
            <v>4693152295</v>
          </cell>
          <cell r="E373" t="str">
            <v>07/13/2005</v>
          </cell>
          <cell r="F373" t="str">
            <v>M</v>
          </cell>
          <cell r="G373">
            <v>12</v>
          </cell>
          <cell r="H373" t="str">
            <v>Autism (AUT)</v>
          </cell>
          <cell r="I373" t="str">
            <v>Y</v>
          </cell>
          <cell r="J373" t="str">
            <v>American Indian or Alaskan Native</v>
          </cell>
          <cell r="K373" t="str">
            <v>SE - DM - COBALT IMS</v>
          </cell>
          <cell r="L373" t="str">
            <v>Yes</v>
          </cell>
          <cell r="M373"/>
        </row>
        <row r="374">
          <cell r="D374">
            <v>4018290581</v>
          </cell>
          <cell r="E374" t="str">
            <v>12/26/2010</v>
          </cell>
          <cell r="F374" t="str">
            <v>M</v>
          </cell>
          <cell r="G374">
            <v>9</v>
          </cell>
          <cell r="H374" t="str">
            <v>Specific Learning Disability (SLD)</v>
          </cell>
          <cell r="I374" t="str">
            <v>Y</v>
          </cell>
          <cell r="J374" t="str">
            <v>Declined to state/Unknown</v>
          </cell>
          <cell r="K374" t="str">
            <v>CS - CHAFFEY WEST CS</v>
          </cell>
          <cell r="L374" t="str">
            <v>Yes</v>
          </cell>
          <cell r="M374"/>
        </row>
        <row r="375">
          <cell r="D375">
            <v>6056563116</v>
          </cell>
          <cell r="E375" t="str">
            <v>05/14/2009</v>
          </cell>
          <cell r="F375" t="str">
            <v>M</v>
          </cell>
          <cell r="G375">
            <v>11</v>
          </cell>
          <cell r="H375" t="str">
            <v>Specific Learning Disability (SLD)</v>
          </cell>
          <cell r="I375" t="str">
            <v>Y</v>
          </cell>
          <cell r="J375" t="str">
            <v>American Indian or Alaskan Native</v>
          </cell>
          <cell r="K375" t="str">
            <v>CS - BOB MURPHY CS</v>
          </cell>
          <cell r="L375" t="str">
            <v>Yes</v>
          </cell>
          <cell r="M375"/>
        </row>
        <row r="376">
          <cell r="D376">
            <v>6231689864</v>
          </cell>
          <cell r="E376" t="str">
            <v>11/21/2008</v>
          </cell>
          <cell r="F376" t="str">
            <v>M</v>
          </cell>
          <cell r="G376">
            <v>11</v>
          </cell>
          <cell r="H376" t="str">
            <v>Intellectual Disability (ID)</v>
          </cell>
          <cell r="I376" t="str">
            <v>Y</v>
          </cell>
          <cell r="J376" t="str">
            <v>White</v>
          </cell>
          <cell r="K376" t="str">
            <v>SE - DM - GRANITE HILL</v>
          </cell>
          <cell r="L376" t="str">
            <v>Yes</v>
          </cell>
          <cell r="M376"/>
        </row>
        <row r="377">
          <cell r="D377">
            <v>2189127835</v>
          </cell>
          <cell r="E377" t="str">
            <v>11/15/2005</v>
          </cell>
          <cell r="F377" t="str">
            <v>M</v>
          </cell>
          <cell r="G377">
            <v>12</v>
          </cell>
          <cell r="H377" t="str">
            <v>Intellectual Disability (ID)</v>
          </cell>
          <cell r="I377" t="str">
            <v>Y</v>
          </cell>
          <cell r="J377" t="str">
            <v>White</v>
          </cell>
          <cell r="K377" t="str">
            <v>SE - WE - RANCHO CUC HS</v>
          </cell>
          <cell r="L377" t="str">
            <v>Yes</v>
          </cell>
          <cell r="M377"/>
        </row>
        <row r="378">
          <cell r="D378">
            <v>6340941011</v>
          </cell>
          <cell r="E378" t="str">
            <v>02/22/2007</v>
          </cell>
          <cell r="F378" t="str">
            <v>M</v>
          </cell>
          <cell r="G378">
            <v>12</v>
          </cell>
          <cell r="H378" t="str">
            <v>Specific Learning Disability (SLD)</v>
          </cell>
          <cell r="I378" t="str">
            <v>Y</v>
          </cell>
          <cell r="J378" t="str">
            <v>American Indian or Alaskan Native</v>
          </cell>
          <cell r="K378" t="str">
            <v>CS - BOB MURPHY CS</v>
          </cell>
          <cell r="L378" t="str">
            <v>Yes</v>
          </cell>
          <cell r="M378"/>
        </row>
        <row r="379">
          <cell r="D379">
            <v>1051432457</v>
          </cell>
          <cell r="E379" t="str">
            <v>11/26/2008</v>
          </cell>
          <cell r="F379" t="str">
            <v>M</v>
          </cell>
          <cell r="G379">
            <v>11</v>
          </cell>
          <cell r="H379" t="str">
            <v>Specific Learning Disability (SLD)</v>
          </cell>
          <cell r="I379" t="str">
            <v>Y</v>
          </cell>
          <cell r="J379" t="str">
            <v>American Indian or Alaskan Native</v>
          </cell>
          <cell r="K379" t="str">
            <v>CS - INDEPENDENT LEARNING ACADEMY (ILA)</v>
          </cell>
          <cell r="L379" t="str">
            <v>Yes</v>
          </cell>
          <cell r="M379"/>
        </row>
        <row r="380">
          <cell r="D380">
            <v>5334105420</v>
          </cell>
          <cell r="E380" t="str">
            <v>10/08/2010</v>
          </cell>
          <cell r="F380" t="str">
            <v>M</v>
          </cell>
          <cell r="G380">
            <v>9</v>
          </cell>
          <cell r="H380" t="str">
            <v>Specific Learning Disability (SLD)</v>
          </cell>
          <cell r="I380" t="str">
            <v>Y</v>
          </cell>
          <cell r="J380" t="str">
            <v>White</v>
          </cell>
          <cell r="K380" t="str">
            <v>CS - BARBARA PHELPS CS</v>
          </cell>
          <cell r="L380" t="str">
            <v>Yes</v>
          </cell>
          <cell r="M380"/>
        </row>
        <row r="381">
          <cell r="D381">
            <v>7393958875</v>
          </cell>
          <cell r="E381" t="str">
            <v>07/13/2011</v>
          </cell>
          <cell r="F381" t="str">
            <v>M</v>
          </cell>
          <cell r="G381">
            <v>9</v>
          </cell>
          <cell r="H381" t="str">
            <v>Intellectual Disability (ID)</v>
          </cell>
          <cell r="I381" t="str">
            <v>Y</v>
          </cell>
          <cell r="J381" t="str">
            <v>White</v>
          </cell>
          <cell r="K381" t="str">
            <v>SE - DM - GRANITE HILL</v>
          </cell>
          <cell r="L381" t="str">
            <v>Yes</v>
          </cell>
          <cell r="M381"/>
        </row>
        <row r="382">
          <cell r="D382">
            <v>9246867480</v>
          </cell>
          <cell r="E382" t="str">
            <v>01/09/2009</v>
          </cell>
          <cell r="F382" t="str">
            <v>F</v>
          </cell>
          <cell r="G382">
            <v>11</v>
          </cell>
          <cell r="H382" t="str">
            <v>Intellectual Disability (ID)</v>
          </cell>
          <cell r="I382" t="str">
            <v>Y</v>
          </cell>
          <cell r="J382" t="str">
            <v>White</v>
          </cell>
          <cell r="K382" t="str">
            <v>SE - DM - VICTOR VALLEY SR</v>
          </cell>
          <cell r="L382" t="str">
            <v>Yes</v>
          </cell>
          <cell r="M382"/>
        </row>
        <row r="383">
          <cell r="D383">
            <v>6445865226</v>
          </cell>
          <cell r="E383" t="str">
            <v>09/20/2023</v>
          </cell>
          <cell r="F383" t="str">
            <v>F</v>
          </cell>
          <cell r="G383">
            <v>16</v>
          </cell>
          <cell r="H383" t="str">
            <v>Other Health Impairment (OHI)</v>
          </cell>
          <cell r="I383" t="str">
            <v>Y</v>
          </cell>
          <cell r="J383" t="str">
            <v>American Indian or Alaskan Native</v>
          </cell>
          <cell r="K383" t="str">
            <v>SE - EV - EARLY START</v>
          </cell>
          <cell r="L383" t="str">
            <v>Yes</v>
          </cell>
          <cell r="M383"/>
        </row>
        <row r="384">
          <cell r="D384">
            <v>6058135866</v>
          </cell>
          <cell r="E384" t="str">
            <v>08/26/2024</v>
          </cell>
          <cell r="F384" t="str">
            <v>F</v>
          </cell>
          <cell r="G384">
            <v>16</v>
          </cell>
          <cell r="H384" t="str">
            <v>Intellectual Disability (ID)</v>
          </cell>
          <cell r="I384" t="str">
            <v>Y</v>
          </cell>
          <cell r="J384" t="str">
            <v>White</v>
          </cell>
          <cell r="K384" t="str">
            <v>SE - EV - EARLY START</v>
          </cell>
          <cell r="L384" t="str">
            <v>Yes</v>
          </cell>
          <cell r="M384"/>
        </row>
        <row r="385">
          <cell r="D385">
            <v>8300263184</v>
          </cell>
          <cell r="E385" t="str">
            <v>05/29/2006</v>
          </cell>
          <cell r="F385" t="str">
            <v>F</v>
          </cell>
          <cell r="G385">
            <v>12</v>
          </cell>
          <cell r="H385" t="str">
            <v>Specific Learning Disability (SLD)</v>
          </cell>
          <cell r="I385" t="str">
            <v>N</v>
          </cell>
          <cell r="J385" t="str">
            <v>Black or African American</v>
          </cell>
          <cell r="K385" t="str">
            <v>SE - INDEPENDENT STUDY</v>
          </cell>
          <cell r="L385" t="str">
            <v>Yes</v>
          </cell>
          <cell r="M385"/>
        </row>
        <row r="386">
          <cell r="D386">
            <v>5017261961</v>
          </cell>
          <cell r="E386" t="str">
            <v>08/26/2009</v>
          </cell>
          <cell r="F386" t="str">
            <v>M</v>
          </cell>
          <cell r="G386">
            <v>11</v>
          </cell>
          <cell r="H386" t="str">
            <v>Autism (AUT)</v>
          </cell>
          <cell r="I386" t="str">
            <v>N</v>
          </cell>
          <cell r="J386" t="str">
            <v>White</v>
          </cell>
          <cell r="K386" t="str">
            <v>SE - DM - VICTOR VALLEY SR</v>
          </cell>
          <cell r="L386" t="str">
            <v>Yes</v>
          </cell>
          <cell r="M386"/>
        </row>
        <row r="387">
          <cell r="D387">
            <v>7924497107</v>
          </cell>
          <cell r="E387" t="str">
            <v>07/29/2023</v>
          </cell>
          <cell r="F387" t="str">
            <v>M</v>
          </cell>
          <cell r="G387">
            <v>16</v>
          </cell>
          <cell r="H387" t="str">
            <v>Speech or Language Impairment (SLI)</v>
          </cell>
          <cell r="I387" t="str">
            <v>Y</v>
          </cell>
          <cell r="J387" t="str">
            <v>White</v>
          </cell>
          <cell r="K387" t="str">
            <v>SE - EV - EARLY START</v>
          </cell>
          <cell r="L387" t="str">
            <v>Yes</v>
          </cell>
          <cell r="M387"/>
        </row>
        <row r="388">
          <cell r="D388">
            <v>1186314603</v>
          </cell>
          <cell r="E388" t="str">
            <v>09/20/2005</v>
          </cell>
          <cell r="F388" t="str">
            <v>M</v>
          </cell>
          <cell r="G388">
            <v>12</v>
          </cell>
          <cell r="H388" t="str">
            <v>Autism (AUT)</v>
          </cell>
          <cell r="I388" t="str">
            <v>N</v>
          </cell>
          <cell r="J388" t="str">
            <v>White</v>
          </cell>
          <cell r="K388" t="str">
            <v>SE - DM - TRONA</v>
          </cell>
          <cell r="L388" t="str">
            <v>Yes</v>
          </cell>
          <cell r="M388"/>
        </row>
        <row r="389">
          <cell r="D389">
            <v>1060677044</v>
          </cell>
          <cell r="E389" t="str">
            <v>01/20/2011</v>
          </cell>
          <cell r="F389" t="str">
            <v>M</v>
          </cell>
          <cell r="G389">
            <v>9</v>
          </cell>
          <cell r="H389" t="str">
            <v>Speech or Language Impairment (SLI)</v>
          </cell>
          <cell r="I389" t="str">
            <v>N</v>
          </cell>
          <cell r="J389" t="str">
            <v>Black or African American</v>
          </cell>
          <cell r="K389" t="str">
            <v>CS - VICTORVILLE EDUCATION CENTER SECOND PROGRAM</v>
          </cell>
          <cell r="L389" t="str">
            <v>Yes</v>
          </cell>
          <cell r="M389"/>
        </row>
        <row r="390">
          <cell r="D390">
            <v>4414707786</v>
          </cell>
          <cell r="E390" t="str">
            <v>12/17/2008</v>
          </cell>
          <cell r="F390" t="str">
            <v>F</v>
          </cell>
          <cell r="G390">
            <v>11</v>
          </cell>
          <cell r="H390" t="str">
            <v>Multiple Disability (MD)</v>
          </cell>
          <cell r="I390" t="str">
            <v>Y</v>
          </cell>
          <cell r="J390" t="str">
            <v>White</v>
          </cell>
          <cell r="K390" t="str">
            <v>SE - DM - GRANITE HILL</v>
          </cell>
          <cell r="L390" t="str">
            <v>Yes</v>
          </cell>
          <cell r="M390"/>
        </row>
        <row r="391">
          <cell r="D391">
            <v>2376870805</v>
          </cell>
          <cell r="E391" t="str">
            <v>10/12/2024</v>
          </cell>
          <cell r="F391" t="str">
            <v>F</v>
          </cell>
          <cell r="G391">
            <v>16</v>
          </cell>
          <cell r="H391" t="str">
            <v>Hard of Hearing (HH)</v>
          </cell>
          <cell r="I391" t="str">
            <v>Y</v>
          </cell>
          <cell r="J391" t="str">
            <v>Declined to state/Unknown</v>
          </cell>
          <cell r="K391" t="str">
            <v>SE - DM - EARLY START</v>
          </cell>
          <cell r="L391" t="str">
            <v>Yes</v>
          </cell>
          <cell r="M391"/>
        </row>
        <row r="392">
          <cell r="D392">
            <v>3482708668</v>
          </cell>
          <cell r="E392" t="str">
            <v>10/09/2008</v>
          </cell>
          <cell r="F392" t="str">
            <v>M</v>
          </cell>
          <cell r="G392">
            <v>11</v>
          </cell>
          <cell r="H392" t="str">
            <v>Intellectual Disability (ID)</v>
          </cell>
          <cell r="I392" t="str">
            <v>N</v>
          </cell>
          <cell r="J392" t="str">
            <v>Filipino</v>
          </cell>
          <cell r="K392" t="str">
            <v>SE - DM - OAK HILLS HS</v>
          </cell>
          <cell r="L392" t="str">
            <v>Yes</v>
          </cell>
          <cell r="M392"/>
        </row>
        <row r="393">
          <cell r="D393">
            <v>3979250324</v>
          </cell>
          <cell r="E393" t="str">
            <v>08/11/2008</v>
          </cell>
          <cell r="F393" t="str">
            <v>M</v>
          </cell>
          <cell r="G393">
            <v>12</v>
          </cell>
          <cell r="H393" t="str">
            <v>Multiple Disability (MD)</v>
          </cell>
          <cell r="I393" t="str">
            <v>N</v>
          </cell>
          <cell r="J393" t="str">
            <v>White</v>
          </cell>
          <cell r="K393" t="str">
            <v>SE - WE - COLONY HS</v>
          </cell>
          <cell r="L393" t="str">
            <v>Yes</v>
          </cell>
          <cell r="M393"/>
        </row>
        <row r="394">
          <cell r="D394">
            <v>4586077923</v>
          </cell>
          <cell r="E394" t="str">
            <v>06/09/2008</v>
          </cell>
          <cell r="F394" t="str">
            <v>F</v>
          </cell>
          <cell r="G394">
            <v>12</v>
          </cell>
          <cell r="H394" t="str">
            <v>Intellectual Disability (ID)</v>
          </cell>
          <cell r="I394" t="str">
            <v>Y</v>
          </cell>
          <cell r="J394" t="str">
            <v>White</v>
          </cell>
          <cell r="K394" t="str">
            <v>SE - DM - GRANITE HILL</v>
          </cell>
          <cell r="L394" t="str">
            <v>Yes</v>
          </cell>
          <cell r="M394"/>
        </row>
        <row r="395">
          <cell r="D395">
            <v>3209691093</v>
          </cell>
          <cell r="E395" t="str">
            <v>10/14/2010</v>
          </cell>
          <cell r="F395" t="str">
            <v>F</v>
          </cell>
          <cell r="G395">
            <v>9</v>
          </cell>
          <cell r="H395" t="str">
            <v>Other Health Impairment (OHI)</v>
          </cell>
          <cell r="I395" t="str">
            <v>N</v>
          </cell>
          <cell r="J395" t="str">
            <v>Black or African American</v>
          </cell>
          <cell r="K395" t="str">
            <v>SE - DM - VISION ALT LEARNING ACADEMY</v>
          </cell>
          <cell r="L395" t="str">
            <v>Yes</v>
          </cell>
          <cell r="M395"/>
        </row>
        <row r="396">
          <cell r="D396">
            <v>1516703861</v>
          </cell>
          <cell r="E396" t="str">
            <v>11/18/2010</v>
          </cell>
          <cell r="F396" t="str">
            <v>F</v>
          </cell>
          <cell r="G396">
            <v>9</v>
          </cell>
          <cell r="H396" t="str">
            <v>Intellectual Disability (ID)</v>
          </cell>
          <cell r="I396" t="str">
            <v>Y</v>
          </cell>
          <cell r="J396" t="str">
            <v>White</v>
          </cell>
          <cell r="K396" t="str">
            <v>SE - DM - OAK HILLS HS</v>
          </cell>
          <cell r="L396" t="str">
            <v>Yes</v>
          </cell>
          <cell r="M396"/>
        </row>
        <row r="397">
          <cell r="D397">
            <v>4717442981</v>
          </cell>
          <cell r="E397" t="str">
            <v>07/29/2011</v>
          </cell>
          <cell r="F397" t="str">
            <v>M</v>
          </cell>
          <cell r="G397">
            <v>9</v>
          </cell>
          <cell r="H397" t="str">
            <v>Autism (AUT)</v>
          </cell>
          <cell r="I397" t="str">
            <v>Y</v>
          </cell>
          <cell r="J397" t="str">
            <v>Other Asian</v>
          </cell>
          <cell r="K397" t="str">
            <v>SE - WE - ALTA LOMA HS</v>
          </cell>
          <cell r="L397" t="str">
            <v>Yes</v>
          </cell>
          <cell r="M397"/>
        </row>
        <row r="398">
          <cell r="D398">
            <v>7540217177</v>
          </cell>
          <cell r="E398" t="str">
            <v>04/13/2008</v>
          </cell>
          <cell r="F398" t="str">
            <v>M</v>
          </cell>
          <cell r="G398">
            <v>11</v>
          </cell>
          <cell r="H398" t="str">
            <v>Emotional Disturbance (ED)</v>
          </cell>
          <cell r="I398" t="str">
            <v>Y</v>
          </cell>
          <cell r="J398" t="str">
            <v>White</v>
          </cell>
          <cell r="K398" t="str">
            <v>SE - WE - GIBSON HS</v>
          </cell>
          <cell r="L398" t="str">
            <v>Yes</v>
          </cell>
          <cell r="M398"/>
        </row>
        <row r="399">
          <cell r="D399">
            <v>4173526890</v>
          </cell>
          <cell r="E399" t="str">
            <v>08/07/2004</v>
          </cell>
          <cell r="F399" t="str">
            <v>F</v>
          </cell>
          <cell r="G399">
            <v>12</v>
          </cell>
          <cell r="H399" t="str">
            <v>Multiple Disability (MD)</v>
          </cell>
          <cell r="I399" t="str">
            <v>N</v>
          </cell>
          <cell r="J399" t="str">
            <v>White</v>
          </cell>
          <cell r="K399" t="str">
            <v>SE - WE - LOS OSOS HS</v>
          </cell>
          <cell r="L399" t="str">
            <v>Yes</v>
          </cell>
          <cell r="M399"/>
        </row>
        <row r="400">
          <cell r="D400">
            <v>5190422332</v>
          </cell>
          <cell r="E400" t="str">
            <v>05/01/2004</v>
          </cell>
          <cell r="F400" t="str">
            <v>M</v>
          </cell>
          <cell r="G400">
            <v>12</v>
          </cell>
          <cell r="H400" t="str">
            <v>Intellectual Disability (ID)</v>
          </cell>
          <cell r="I400" t="str">
            <v>Y</v>
          </cell>
          <cell r="J400" t="str">
            <v>White</v>
          </cell>
          <cell r="K400" t="str">
            <v>SE - WE - CHINO HS</v>
          </cell>
          <cell r="L400" t="str">
            <v>Yes</v>
          </cell>
          <cell r="M400"/>
        </row>
        <row r="401">
          <cell r="D401">
            <v>5274233234</v>
          </cell>
          <cell r="E401" t="str">
            <v>09/11/2008</v>
          </cell>
          <cell r="F401" t="str">
            <v>F</v>
          </cell>
          <cell r="G401">
            <v>12</v>
          </cell>
          <cell r="H401" t="str">
            <v>Autism (AUT)</v>
          </cell>
          <cell r="I401" t="str">
            <v>Y</v>
          </cell>
          <cell r="J401" t="str">
            <v>White</v>
          </cell>
          <cell r="K401" t="str">
            <v>SE - DM - HESPERIA SR</v>
          </cell>
          <cell r="L401" t="str">
            <v>Yes</v>
          </cell>
          <cell r="M401"/>
        </row>
        <row r="402">
          <cell r="D402">
            <v>8186969428</v>
          </cell>
          <cell r="E402" t="str">
            <v>07/08/2004</v>
          </cell>
          <cell r="F402" t="str">
            <v>M</v>
          </cell>
          <cell r="G402">
            <v>12</v>
          </cell>
          <cell r="H402" t="str">
            <v>Intellectual Disability (ID)</v>
          </cell>
          <cell r="I402" t="str">
            <v>Y</v>
          </cell>
          <cell r="J402" t="str">
            <v>White</v>
          </cell>
          <cell r="K402" t="str">
            <v>SE - DM - HESPERIA STAR</v>
          </cell>
          <cell r="L402" t="str">
            <v>Yes</v>
          </cell>
          <cell r="M402"/>
        </row>
        <row r="403">
          <cell r="D403">
            <v>6161376227</v>
          </cell>
          <cell r="E403" t="str">
            <v>01/05/2009</v>
          </cell>
          <cell r="F403" t="str">
            <v>M</v>
          </cell>
          <cell r="G403">
            <v>11</v>
          </cell>
          <cell r="H403" t="str">
            <v>Multiple Disability (MD)</v>
          </cell>
          <cell r="I403" t="str">
            <v>Y</v>
          </cell>
          <cell r="J403" t="str">
            <v>American Indian or Alaskan Native</v>
          </cell>
          <cell r="K403" t="str">
            <v>SE - DM - SULTANA</v>
          </cell>
          <cell r="L403" t="str">
            <v>Yes</v>
          </cell>
          <cell r="M403"/>
        </row>
        <row r="404">
          <cell r="D404">
            <v>8748292353</v>
          </cell>
          <cell r="E404" t="str">
            <v>07/16/2010</v>
          </cell>
          <cell r="F404" t="str">
            <v>M</v>
          </cell>
          <cell r="G404">
            <v>10</v>
          </cell>
          <cell r="H404" t="str">
            <v>Intellectual Disability (ID)</v>
          </cell>
          <cell r="I404" t="str">
            <v>Y</v>
          </cell>
          <cell r="J404" t="str">
            <v>Black or African American</v>
          </cell>
          <cell r="K404" t="str">
            <v>SE - DM - COBALT IMS</v>
          </cell>
          <cell r="L404" t="str">
            <v>Yes</v>
          </cell>
          <cell r="M404"/>
        </row>
        <row r="405">
          <cell r="D405">
            <v>1356918254</v>
          </cell>
          <cell r="E405" t="str">
            <v>09/12/2011</v>
          </cell>
          <cell r="F405" t="str">
            <v>F</v>
          </cell>
          <cell r="G405">
            <v>9</v>
          </cell>
          <cell r="H405" t="str">
            <v>Orthopedic Impairment (OI)</v>
          </cell>
          <cell r="I405" t="str">
            <v>N</v>
          </cell>
          <cell r="J405" t="str">
            <v>Filipino</v>
          </cell>
          <cell r="K405" t="str">
            <v>SE - WE - LOS OSOS HS</v>
          </cell>
          <cell r="L405" t="str">
            <v>Yes</v>
          </cell>
          <cell r="M405"/>
        </row>
        <row r="406">
          <cell r="D406">
            <v>8060420790</v>
          </cell>
          <cell r="E406" t="str">
            <v>03/21/2009</v>
          </cell>
          <cell r="F406" t="str">
            <v>F</v>
          </cell>
          <cell r="G406">
            <v>11</v>
          </cell>
          <cell r="H406" t="str">
            <v>Intellectual Disability (ID)</v>
          </cell>
          <cell r="I406" t="str">
            <v>Y</v>
          </cell>
          <cell r="J406" t="str">
            <v>White</v>
          </cell>
          <cell r="K406" t="str">
            <v>SE - DM - GRANITE HILL</v>
          </cell>
          <cell r="L406" t="str">
            <v>Yes</v>
          </cell>
          <cell r="M406"/>
        </row>
        <row r="407">
          <cell r="D407">
            <v>7188971736</v>
          </cell>
          <cell r="E407" t="str">
            <v>09/04/2004</v>
          </cell>
          <cell r="F407" t="str">
            <v>F</v>
          </cell>
          <cell r="G407">
            <v>12</v>
          </cell>
          <cell r="H407" t="str">
            <v>Multiple Disability (MD)</v>
          </cell>
          <cell r="I407" t="str">
            <v>Y</v>
          </cell>
          <cell r="J407" t="str">
            <v>American Indian or Alaskan Native</v>
          </cell>
          <cell r="K407" t="str">
            <v>SE - HOME HOSPITAL</v>
          </cell>
          <cell r="L407" t="str">
            <v>Yes</v>
          </cell>
          <cell r="M407"/>
        </row>
        <row r="408">
          <cell r="D408">
            <v>5544505866</v>
          </cell>
          <cell r="E408" t="str">
            <v>12/11/2007</v>
          </cell>
          <cell r="F408" t="str">
            <v>M</v>
          </cell>
          <cell r="G408">
            <v>12</v>
          </cell>
          <cell r="H408" t="str">
            <v>Emotional Disturbance (ED)</v>
          </cell>
          <cell r="I408" t="str">
            <v>N</v>
          </cell>
          <cell r="J408" t="str">
            <v>White</v>
          </cell>
          <cell r="K408" t="str">
            <v>SE - INDEPENDENT STUDY</v>
          </cell>
          <cell r="L408" t="str">
            <v>Yes</v>
          </cell>
          <cell r="M408"/>
        </row>
        <row r="409">
          <cell r="D409">
            <v>4412418467</v>
          </cell>
          <cell r="E409" t="str">
            <v>05/14/2025</v>
          </cell>
          <cell r="F409" t="str">
            <v>M</v>
          </cell>
          <cell r="G409">
            <v>16</v>
          </cell>
          <cell r="H409" t="str">
            <v>Other Health Impairment (OHI)</v>
          </cell>
          <cell r="I409" t="str">
            <v>Y</v>
          </cell>
          <cell r="J409" t="str">
            <v>Declined to state/Unknown</v>
          </cell>
          <cell r="K409" t="str">
            <v>SE - EV - EARLY START</v>
          </cell>
          <cell r="L409" t="str">
            <v>Yes</v>
          </cell>
          <cell r="M409"/>
        </row>
        <row r="410">
          <cell r="D410">
            <v>2255030368</v>
          </cell>
          <cell r="E410" t="str">
            <v>04/02/2009</v>
          </cell>
          <cell r="F410" t="str">
            <v>M</v>
          </cell>
          <cell r="G410">
            <v>11</v>
          </cell>
          <cell r="H410" t="str">
            <v>Other Health Impairment (OHI)</v>
          </cell>
          <cell r="I410" t="str">
            <v>N</v>
          </cell>
          <cell r="J410" t="str">
            <v>Black or African American</v>
          </cell>
          <cell r="K410" t="str">
            <v>CS - BOB MURPHY CS</v>
          </cell>
          <cell r="L410" t="str">
            <v>Yes</v>
          </cell>
          <cell r="M410"/>
        </row>
        <row r="411">
          <cell r="D411">
            <v>4453722090</v>
          </cell>
          <cell r="E411" t="str">
            <v>02/21/2010</v>
          </cell>
          <cell r="F411" t="str">
            <v>M</v>
          </cell>
          <cell r="G411">
            <v>10</v>
          </cell>
          <cell r="H411" t="str">
            <v>Emotional Disturbance (ED)</v>
          </cell>
          <cell r="I411" t="str">
            <v>N</v>
          </cell>
          <cell r="J411" t="str">
            <v>Black or African American</v>
          </cell>
          <cell r="K411" t="str">
            <v>SE - EV - BARBARA PHELPS SP ED</v>
          </cell>
          <cell r="L411" t="str">
            <v>Yes</v>
          </cell>
          <cell r="M411"/>
        </row>
        <row r="412">
          <cell r="D412">
            <v>5769108955</v>
          </cell>
          <cell r="E412" t="str">
            <v>01/01/2007</v>
          </cell>
          <cell r="F412" t="str">
            <v>F</v>
          </cell>
          <cell r="G412">
            <v>12</v>
          </cell>
          <cell r="H412" t="str">
            <v>Intellectual Disability (ID)</v>
          </cell>
          <cell r="I412" t="str">
            <v>N</v>
          </cell>
          <cell r="J412" t="str">
            <v>White</v>
          </cell>
          <cell r="K412" t="str">
            <v>SE - DM - LUCERNE SR</v>
          </cell>
          <cell r="L412" t="str">
            <v>Yes</v>
          </cell>
          <cell r="M412"/>
        </row>
        <row r="413">
          <cell r="D413">
            <v>4505656241</v>
          </cell>
          <cell r="E413" t="str">
            <v>06/30/2006</v>
          </cell>
          <cell r="F413" t="str">
            <v>F</v>
          </cell>
          <cell r="G413">
            <v>12</v>
          </cell>
          <cell r="H413" t="str">
            <v>Autism (AUT)</v>
          </cell>
          <cell r="I413" t="str">
            <v>N</v>
          </cell>
          <cell r="J413" t="str">
            <v>Black or African American</v>
          </cell>
          <cell r="K413" t="str">
            <v>SE - DM - VICTOR VALLEY SR</v>
          </cell>
          <cell r="L413" t="str">
            <v>Yes</v>
          </cell>
          <cell r="M413"/>
        </row>
        <row r="414">
          <cell r="D414">
            <v>3762368561</v>
          </cell>
          <cell r="E414" t="str">
            <v>08/24/2011</v>
          </cell>
          <cell r="F414" t="str">
            <v>M</v>
          </cell>
          <cell r="G414">
            <v>9</v>
          </cell>
          <cell r="H414" t="str">
            <v>Traumatic Brain Injury (TBI)</v>
          </cell>
          <cell r="I414" t="str">
            <v>Y</v>
          </cell>
          <cell r="J414" t="str">
            <v>Declined to state/Unknown</v>
          </cell>
          <cell r="K414" t="str">
            <v>SE - DM - SULTANA</v>
          </cell>
          <cell r="L414" t="str">
            <v>Yes</v>
          </cell>
          <cell r="M414"/>
        </row>
        <row r="415">
          <cell r="D415">
            <v>9179754423</v>
          </cell>
          <cell r="E415" t="str">
            <v>12/15/2006</v>
          </cell>
          <cell r="F415" t="str">
            <v>F</v>
          </cell>
          <cell r="G415">
            <v>12</v>
          </cell>
          <cell r="H415" t="str">
            <v>Intellectual Disability (ID)</v>
          </cell>
          <cell r="I415" t="str">
            <v>Y</v>
          </cell>
          <cell r="J415" t="str">
            <v>White</v>
          </cell>
          <cell r="K415" t="str">
            <v>SE - WE - RANCHO CUC HS</v>
          </cell>
          <cell r="L415" t="str">
            <v>Yes</v>
          </cell>
          <cell r="M415"/>
        </row>
        <row r="416">
          <cell r="D416">
            <v>7188981996</v>
          </cell>
          <cell r="E416" t="str">
            <v>09/23/2005</v>
          </cell>
          <cell r="F416" t="str">
            <v>M</v>
          </cell>
          <cell r="G416">
            <v>12</v>
          </cell>
          <cell r="H416" t="str">
            <v>Intellectual Disability (ID)</v>
          </cell>
          <cell r="I416" t="str">
            <v>Y</v>
          </cell>
          <cell r="J416" t="str">
            <v>White</v>
          </cell>
          <cell r="K416" t="str">
            <v>SE - DM - SULTANA</v>
          </cell>
          <cell r="L416" t="str">
            <v>Yes</v>
          </cell>
          <cell r="M416"/>
        </row>
        <row r="417">
          <cell r="D417">
            <v>7731574086</v>
          </cell>
          <cell r="E417" t="str">
            <v>03/25/2011</v>
          </cell>
          <cell r="F417" t="str">
            <v>M</v>
          </cell>
          <cell r="G417">
            <v>9</v>
          </cell>
          <cell r="H417" t="str">
            <v>Multiple Disability (MD)</v>
          </cell>
          <cell r="I417" t="str">
            <v>Y</v>
          </cell>
          <cell r="J417" t="str">
            <v>Laotian</v>
          </cell>
          <cell r="K417" t="str">
            <v>SE - DM - VICTOR VALLEY SR</v>
          </cell>
          <cell r="L417" t="str">
            <v>Yes</v>
          </cell>
          <cell r="M417"/>
        </row>
        <row r="418">
          <cell r="D418">
            <v>9689265775</v>
          </cell>
          <cell r="E418" t="str">
            <v>04/01/2008</v>
          </cell>
          <cell r="F418" t="str">
            <v>M</v>
          </cell>
          <cell r="G418">
            <v>12</v>
          </cell>
          <cell r="H418" t="str">
            <v>Hard of Hearing (HH)</v>
          </cell>
          <cell r="I418" t="str">
            <v>Y</v>
          </cell>
          <cell r="J418" t="str">
            <v>Declined to state/Unknown</v>
          </cell>
          <cell r="K418" t="str">
            <v>SE - DM - HESPERIA SR</v>
          </cell>
          <cell r="L418" t="str">
            <v>Yes</v>
          </cell>
          <cell r="M418"/>
        </row>
        <row r="419">
          <cell r="D419">
            <v>5367409143</v>
          </cell>
          <cell r="E419" t="str">
            <v>06/18/2023</v>
          </cell>
          <cell r="F419" t="str">
            <v>F</v>
          </cell>
          <cell r="G419">
            <v>16</v>
          </cell>
          <cell r="H419" t="str">
            <v>Other Health Impairment (OHI)</v>
          </cell>
          <cell r="I419" t="str">
            <v>Y</v>
          </cell>
          <cell r="J419" t="str">
            <v>White</v>
          </cell>
          <cell r="K419" t="str">
            <v>SE - EV - EARLY START</v>
          </cell>
          <cell r="L419" t="str">
            <v>Yes</v>
          </cell>
          <cell r="M419"/>
        </row>
        <row r="420">
          <cell r="D420">
            <v>7179412296</v>
          </cell>
          <cell r="E420" t="str">
            <v>03/08/2005</v>
          </cell>
          <cell r="F420" t="str">
            <v>F</v>
          </cell>
          <cell r="G420">
            <v>12</v>
          </cell>
          <cell r="H420" t="str">
            <v>Multiple Disability (MD)</v>
          </cell>
          <cell r="I420" t="str">
            <v>Y</v>
          </cell>
          <cell r="J420" t="str">
            <v>Declined to state/Unknown</v>
          </cell>
          <cell r="K420" t="str">
            <v>SE - WE - COLONY HS</v>
          </cell>
          <cell r="L420" t="str">
            <v>Yes</v>
          </cell>
          <cell r="M420"/>
        </row>
        <row r="421">
          <cell r="D421">
            <v>9918106053</v>
          </cell>
          <cell r="E421" t="str">
            <v>11/14/2024</v>
          </cell>
          <cell r="F421" t="str">
            <v>M</v>
          </cell>
          <cell r="G421">
            <v>16</v>
          </cell>
          <cell r="H421" t="str">
            <v>Hard of Hearing (HH)</v>
          </cell>
          <cell r="I421" t="str">
            <v>Y</v>
          </cell>
          <cell r="J421" t="str">
            <v>White</v>
          </cell>
          <cell r="K421" t="str">
            <v>SE - EV - EARLY START</v>
          </cell>
          <cell r="L421" t="str">
            <v>Yes</v>
          </cell>
          <cell r="M421"/>
        </row>
        <row r="422">
          <cell r="D422">
            <v>4151925360</v>
          </cell>
          <cell r="E422" t="str">
            <v>07/01/2006</v>
          </cell>
          <cell r="F422" t="str">
            <v>M</v>
          </cell>
          <cell r="G422">
            <v>12</v>
          </cell>
          <cell r="H422" t="str">
            <v>Intellectual Disability (ID)</v>
          </cell>
          <cell r="I422" t="str">
            <v>Y</v>
          </cell>
          <cell r="J422" t="str">
            <v>White</v>
          </cell>
          <cell r="K422" t="str">
            <v>SE - WE - ALTA LOMA HS</v>
          </cell>
          <cell r="L422" t="str">
            <v>Yes</v>
          </cell>
          <cell r="M422"/>
        </row>
        <row r="423">
          <cell r="D423">
            <v>4094371945</v>
          </cell>
          <cell r="E423" t="str">
            <v>02/27/2011</v>
          </cell>
          <cell r="F423" t="str">
            <v>M</v>
          </cell>
          <cell r="G423">
            <v>9</v>
          </cell>
          <cell r="H423" t="str">
            <v>Hard of Hearing (HH)</v>
          </cell>
          <cell r="I423" t="str">
            <v>Y</v>
          </cell>
          <cell r="J423" t="str">
            <v>Declined to state/Unknown</v>
          </cell>
          <cell r="K423" t="str">
            <v>SE - DM - HESPERIA SR</v>
          </cell>
          <cell r="L423" t="str">
            <v>Yes</v>
          </cell>
          <cell r="M423"/>
        </row>
        <row r="424">
          <cell r="D424">
            <v>7840684978</v>
          </cell>
          <cell r="E424" t="str">
            <v>12/08/2023</v>
          </cell>
          <cell r="F424" t="str">
            <v>F</v>
          </cell>
          <cell r="G424">
            <v>16</v>
          </cell>
          <cell r="H424" t="str">
            <v>Other Health Impairment (OHI)</v>
          </cell>
          <cell r="I424" t="str">
            <v>Y</v>
          </cell>
          <cell r="J424" t="str">
            <v>Other Asian</v>
          </cell>
          <cell r="K424" t="str">
            <v>SE - WE - EARLY START</v>
          </cell>
          <cell r="L424" t="str">
            <v>Yes</v>
          </cell>
          <cell r="M424"/>
        </row>
        <row r="425">
          <cell r="D425">
            <v>7546352872</v>
          </cell>
          <cell r="E425" t="str">
            <v>11/20/2007</v>
          </cell>
          <cell r="F425" t="str">
            <v>F</v>
          </cell>
          <cell r="G425">
            <v>12</v>
          </cell>
          <cell r="H425" t="str">
            <v>Autism (AUT)</v>
          </cell>
          <cell r="I425" t="str">
            <v>N</v>
          </cell>
          <cell r="J425" t="str">
            <v>White</v>
          </cell>
          <cell r="K425" t="str">
            <v>SE - DM - NEEDLES SR</v>
          </cell>
          <cell r="L425" t="str">
            <v>Yes</v>
          </cell>
          <cell r="M425"/>
        </row>
        <row r="426">
          <cell r="D426">
            <v>2993447518</v>
          </cell>
          <cell r="E426" t="str">
            <v>09/03/2008</v>
          </cell>
          <cell r="F426" t="str">
            <v>F</v>
          </cell>
          <cell r="G426">
            <v>11</v>
          </cell>
          <cell r="H426" t="str">
            <v>Multiple Disability (MD)</v>
          </cell>
          <cell r="I426" t="str">
            <v>Y</v>
          </cell>
          <cell r="J426" t="str">
            <v>White</v>
          </cell>
          <cell r="K426" t="str">
            <v>SE - EV - RIALTO HS 2</v>
          </cell>
          <cell r="L426" t="str">
            <v>Yes</v>
          </cell>
          <cell r="M426"/>
        </row>
        <row r="427">
          <cell r="D427">
            <v>2548958106</v>
          </cell>
          <cell r="E427" t="str">
            <v>04/01/2009</v>
          </cell>
          <cell r="F427" t="str">
            <v>M</v>
          </cell>
          <cell r="G427">
            <v>11</v>
          </cell>
          <cell r="H427" t="str">
            <v>Emotional Disturbance (ED)</v>
          </cell>
          <cell r="I427" t="str">
            <v>N</v>
          </cell>
          <cell r="J427" t="str">
            <v>White</v>
          </cell>
          <cell r="K427" t="str">
            <v>SE - EV - BARBARA PHELPS SP ED</v>
          </cell>
          <cell r="L427" t="str">
            <v>Yes</v>
          </cell>
          <cell r="M427"/>
        </row>
        <row r="428">
          <cell r="D428">
            <v>4677564857</v>
          </cell>
          <cell r="E428" t="str">
            <v>08/27/2010</v>
          </cell>
          <cell r="F428" t="str">
            <v>M</v>
          </cell>
          <cell r="G428">
            <v>9</v>
          </cell>
          <cell r="H428" t="str">
            <v>Other Health Impairment (OHI)</v>
          </cell>
          <cell r="I428" t="str">
            <v>N</v>
          </cell>
          <cell r="J428" t="str">
            <v>White</v>
          </cell>
          <cell r="K428" t="str">
            <v>SE - DM - VISION ALT LEARNING ACADEMY</v>
          </cell>
          <cell r="L428" t="str">
            <v>Yes</v>
          </cell>
          <cell r="M428"/>
        </row>
        <row r="429">
          <cell r="D429">
            <v>4764879630</v>
          </cell>
          <cell r="E429" t="str">
            <v>08/11/2010</v>
          </cell>
          <cell r="F429" t="str">
            <v>M</v>
          </cell>
          <cell r="G429">
            <v>10</v>
          </cell>
          <cell r="H429" t="str">
            <v>Specific Learning Disability (SLD)</v>
          </cell>
          <cell r="I429" t="str">
            <v>N</v>
          </cell>
          <cell r="J429" t="str">
            <v>Black or African American</v>
          </cell>
          <cell r="K429" t="str">
            <v>CS - VICTORVILLE EDUCATION CENTER SECOND PROGRAM</v>
          </cell>
          <cell r="L429" t="str">
            <v>Yes</v>
          </cell>
          <cell r="M429"/>
        </row>
        <row r="430">
          <cell r="D430">
            <v>9952070962</v>
          </cell>
          <cell r="E430" t="str">
            <v>03/28/2009</v>
          </cell>
          <cell r="F430" t="str">
            <v>M</v>
          </cell>
          <cell r="G430">
            <v>11</v>
          </cell>
          <cell r="H430" t="str">
            <v>Autism (AUT)</v>
          </cell>
          <cell r="I430" t="str">
            <v>N</v>
          </cell>
          <cell r="J430" t="str">
            <v>Black or African American</v>
          </cell>
          <cell r="K430" t="str">
            <v>SE - DM - VICTOR VALLEY SR</v>
          </cell>
          <cell r="L430" t="str">
            <v>Yes</v>
          </cell>
          <cell r="M430"/>
        </row>
        <row r="431">
          <cell r="D431">
            <v>6647522387</v>
          </cell>
          <cell r="E431" t="str">
            <v>04/19/2024</v>
          </cell>
          <cell r="F431" t="str">
            <v>M</v>
          </cell>
          <cell r="G431">
            <v>16</v>
          </cell>
          <cell r="H431" t="str">
            <v>Other Health Impairment (OHI)</v>
          </cell>
          <cell r="I431" t="str">
            <v>Y</v>
          </cell>
          <cell r="J431" t="str">
            <v>White</v>
          </cell>
          <cell r="K431" t="str">
            <v>SE - WE - EARLY START</v>
          </cell>
          <cell r="L431" t="str">
            <v>Yes</v>
          </cell>
          <cell r="M431"/>
        </row>
        <row r="432">
          <cell r="D432">
            <v>7446191141</v>
          </cell>
          <cell r="E432" t="str">
            <v>03/05/2010</v>
          </cell>
          <cell r="F432" t="str">
            <v>M</v>
          </cell>
          <cell r="G432">
            <v>10</v>
          </cell>
          <cell r="H432" t="str">
            <v>Multiple Disability (MD)</v>
          </cell>
          <cell r="I432" t="str">
            <v>Y</v>
          </cell>
          <cell r="J432" t="str">
            <v>Declined to state/Unknown</v>
          </cell>
          <cell r="K432" t="str">
            <v>SE - DM - SULTANA</v>
          </cell>
          <cell r="L432" t="str">
            <v>Yes</v>
          </cell>
          <cell r="M432"/>
        </row>
        <row r="433">
          <cell r="D433">
            <v>6186319154</v>
          </cell>
          <cell r="E433" t="str">
            <v>10/02/2004</v>
          </cell>
          <cell r="F433" t="str">
            <v>M</v>
          </cell>
          <cell r="G433">
            <v>12</v>
          </cell>
          <cell r="H433" t="str">
            <v>Multiple Disability (MD)</v>
          </cell>
          <cell r="I433" t="str">
            <v>Y</v>
          </cell>
          <cell r="J433" t="str">
            <v>White</v>
          </cell>
          <cell r="K433" t="str">
            <v>SE - DM - SULTANA</v>
          </cell>
          <cell r="L433" t="str">
            <v>Yes</v>
          </cell>
          <cell r="M433"/>
        </row>
        <row r="434">
          <cell r="D434">
            <v>9983785937</v>
          </cell>
          <cell r="E434" t="str">
            <v>10/18/2010</v>
          </cell>
          <cell r="F434" t="str">
            <v>M</v>
          </cell>
          <cell r="G434">
            <v>9</v>
          </cell>
          <cell r="H434" t="str">
            <v>Multiple Disability (MD)</v>
          </cell>
          <cell r="I434" t="str">
            <v>Y</v>
          </cell>
          <cell r="J434" t="str">
            <v>White</v>
          </cell>
          <cell r="K434" t="str">
            <v>SE - HOME HOSPITAL</v>
          </cell>
          <cell r="L434" t="str">
            <v>Yes</v>
          </cell>
          <cell r="M434"/>
        </row>
        <row r="435">
          <cell r="D435">
            <v>9098024725</v>
          </cell>
          <cell r="E435" t="str">
            <v>10/18/2007</v>
          </cell>
          <cell r="F435" t="str">
            <v>M</v>
          </cell>
          <cell r="G435">
            <v>12</v>
          </cell>
          <cell r="H435" t="str">
            <v>Specific Learning Disability (SLD)</v>
          </cell>
          <cell r="I435" t="str">
            <v>Y</v>
          </cell>
          <cell r="J435" t="str">
            <v>White</v>
          </cell>
          <cell r="K435" t="str">
            <v>SE - DM - NEEDLES SR</v>
          </cell>
          <cell r="L435" t="str">
            <v>Yes</v>
          </cell>
          <cell r="M435"/>
        </row>
        <row r="436">
          <cell r="D436">
            <v>2305809404</v>
          </cell>
          <cell r="E436" t="str">
            <v>10/18/2007</v>
          </cell>
          <cell r="F436" t="str">
            <v>M</v>
          </cell>
          <cell r="G436">
            <v>12</v>
          </cell>
          <cell r="H436" t="str">
            <v>Specific Learning Disability (SLD)</v>
          </cell>
          <cell r="I436" t="str">
            <v>Y</v>
          </cell>
          <cell r="J436" t="str">
            <v>White</v>
          </cell>
          <cell r="K436" t="str">
            <v>SE - DM - NEEDLES SR</v>
          </cell>
          <cell r="L436" t="str">
            <v>Yes</v>
          </cell>
          <cell r="M436"/>
        </row>
        <row r="437">
          <cell r="D437">
            <v>3379239843</v>
          </cell>
          <cell r="E437" t="str">
            <v>02/26/2007</v>
          </cell>
          <cell r="F437" t="str">
            <v>M</v>
          </cell>
          <cell r="G437">
            <v>12</v>
          </cell>
          <cell r="H437" t="str">
            <v>Autism (AUT)</v>
          </cell>
          <cell r="I437" t="str">
            <v>N</v>
          </cell>
          <cell r="J437" t="str">
            <v>Black or African American</v>
          </cell>
          <cell r="K437" t="str">
            <v>SE - WE - RANCHO CUC HS</v>
          </cell>
          <cell r="L437" t="str">
            <v>Yes</v>
          </cell>
          <cell r="M437"/>
        </row>
        <row r="438">
          <cell r="D438">
            <v>6791675782</v>
          </cell>
          <cell r="E438" t="str">
            <v>04/30/2008</v>
          </cell>
          <cell r="F438" t="str">
            <v>F</v>
          </cell>
          <cell r="G438">
            <v>12</v>
          </cell>
          <cell r="H438" t="str">
            <v>Specific Learning Disability (SLD)</v>
          </cell>
          <cell r="I438" t="str">
            <v>Y</v>
          </cell>
          <cell r="J438" t="str">
            <v>Declined to state/Unknown</v>
          </cell>
          <cell r="K438" t="str">
            <v>CS - BOB MURPHY CS</v>
          </cell>
          <cell r="L438" t="str">
            <v>Yes</v>
          </cell>
          <cell r="M438"/>
        </row>
        <row r="439">
          <cell r="D439">
            <v>2489372605</v>
          </cell>
          <cell r="E439" t="str">
            <v>01/19/2009</v>
          </cell>
          <cell r="F439" t="str">
            <v>F</v>
          </cell>
          <cell r="G439">
            <v>11</v>
          </cell>
          <cell r="H439" t="str">
            <v>Autism (AUT)</v>
          </cell>
          <cell r="I439" t="str">
            <v>Y</v>
          </cell>
          <cell r="J439" t="str">
            <v>American Indian or Alaskan Native</v>
          </cell>
          <cell r="K439" t="str">
            <v>SE - DM - SERRANO</v>
          </cell>
          <cell r="L439" t="str">
            <v>Yes</v>
          </cell>
          <cell r="M439"/>
        </row>
        <row r="440">
          <cell r="D440">
            <v>6186029488</v>
          </cell>
          <cell r="E440" t="str">
            <v>10/16/2008</v>
          </cell>
          <cell r="F440" t="str">
            <v>M</v>
          </cell>
          <cell r="G440">
            <v>11</v>
          </cell>
          <cell r="H440" t="str">
            <v>Intellectual Disability (ID)</v>
          </cell>
          <cell r="I440" t="str">
            <v>Y</v>
          </cell>
          <cell r="J440" t="str">
            <v>White</v>
          </cell>
          <cell r="K440" t="str">
            <v>SE - DM - SULTANA</v>
          </cell>
          <cell r="L440" t="str">
            <v>Yes</v>
          </cell>
          <cell r="M440"/>
        </row>
        <row r="441">
          <cell r="D441">
            <v>1477842974</v>
          </cell>
          <cell r="E441" t="str">
            <v>04/08/2010</v>
          </cell>
          <cell r="F441" t="str">
            <v>M</v>
          </cell>
          <cell r="G441">
            <v>9</v>
          </cell>
          <cell r="H441" t="str">
            <v>Specific Learning Disability (SLD)</v>
          </cell>
          <cell r="I441" t="str">
            <v>N</v>
          </cell>
          <cell r="J441" t="str">
            <v>Black or African American</v>
          </cell>
          <cell r="K441" t="str">
            <v>SE - INDEPENDENT STUDY</v>
          </cell>
          <cell r="L441" t="str">
            <v>Yes</v>
          </cell>
          <cell r="M441"/>
        </row>
        <row r="442">
          <cell r="D442">
            <v>1908525576</v>
          </cell>
          <cell r="E442" t="str">
            <v>08/05/2008</v>
          </cell>
          <cell r="F442" t="str">
            <v>F</v>
          </cell>
          <cell r="G442">
            <v>11</v>
          </cell>
          <cell r="H442" t="str">
            <v>Other Health Impairment (OHI)</v>
          </cell>
          <cell r="I442" t="str">
            <v>Y</v>
          </cell>
          <cell r="J442" t="str">
            <v>White</v>
          </cell>
          <cell r="K442" t="str">
            <v>SE - DM - SERRANO</v>
          </cell>
          <cell r="L442" t="str">
            <v>Yes</v>
          </cell>
          <cell r="M442"/>
        </row>
        <row r="443">
          <cell r="D443">
            <v>8187847918</v>
          </cell>
          <cell r="E443" t="str">
            <v>05/20/2005</v>
          </cell>
          <cell r="F443" t="str">
            <v>M</v>
          </cell>
          <cell r="G443">
            <v>12</v>
          </cell>
          <cell r="H443" t="str">
            <v>Autism (AUT)</v>
          </cell>
          <cell r="I443" t="str">
            <v>N</v>
          </cell>
          <cell r="J443" t="str">
            <v>White</v>
          </cell>
          <cell r="K443" t="str">
            <v>SE - EV - COLTON HS 2</v>
          </cell>
          <cell r="L443" t="str">
            <v>Yes</v>
          </cell>
          <cell r="M443"/>
        </row>
        <row r="444">
          <cell r="D444">
            <v>5788433147</v>
          </cell>
          <cell r="E444" t="str">
            <v>11/16/2007</v>
          </cell>
          <cell r="F444" t="str">
            <v>M</v>
          </cell>
          <cell r="G444">
            <v>12</v>
          </cell>
          <cell r="H444" t="str">
            <v>Other Health Impairment (OHI)</v>
          </cell>
          <cell r="I444" t="str">
            <v>N</v>
          </cell>
          <cell r="J444" t="str">
            <v>Black or African American</v>
          </cell>
          <cell r="K444" t="str">
            <v>JCS - EAST VALLEY JUV COURT SCHOOL</v>
          </cell>
          <cell r="L444" t="str">
            <v>Yes</v>
          </cell>
          <cell r="M444"/>
        </row>
        <row r="445">
          <cell r="D445">
            <v>8284843991</v>
          </cell>
          <cell r="E445" t="str">
            <v>06/03/2024</v>
          </cell>
          <cell r="F445" t="str">
            <v>F</v>
          </cell>
          <cell r="G445">
            <v>16</v>
          </cell>
          <cell r="H445" t="str">
            <v>Other Health Impairment (OHI)</v>
          </cell>
          <cell r="I445" t="str">
            <v>Y</v>
          </cell>
          <cell r="J445" t="str">
            <v>Chinese</v>
          </cell>
          <cell r="K445" t="str">
            <v>SE - EV - EARLY START</v>
          </cell>
          <cell r="L445" t="str">
            <v>Yes</v>
          </cell>
          <cell r="M445"/>
        </row>
        <row r="446">
          <cell r="D446">
            <v>1992903884</v>
          </cell>
          <cell r="E446" t="str">
            <v>06/23/2011</v>
          </cell>
          <cell r="F446" t="str">
            <v>M</v>
          </cell>
          <cell r="G446">
            <v>9</v>
          </cell>
          <cell r="H446" t="str">
            <v>Autism (AUT)</v>
          </cell>
          <cell r="I446" t="str">
            <v>Y</v>
          </cell>
          <cell r="J446" t="str">
            <v>Declined to state/Unknown</v>
          </cell>
          <cell r="K446" t="str">
            <v>SE - DM - OAK HILLS HS</v>
          </cell>
          <cell r="L446" t="str">
            <v>Yes</v>
          </cell>
          <cell r="M446"/>
        </row>
        <row r="447">
          <cell r="D447">
            <v>8784010484</v>
          </cell>
          <cell r="E447" t="str">
            <v>05/29/2007</v>
          </cell>
          <cell r="F447" t="str">
            <v>M</v>
          </cell>
          <cell r="G447">
            <v>12</v>
          </cell>
          <cell r="H447" t="str">
            <v>Intellectual Disability (ID)</v>
          </cell>
          <cell r="I447" t="str">
            <v>Y</v>
          </cell>
          <cell r="J447" t="str">
            <v>Declined to state/Unknown</v>
          </cell>
          <cell r="K447" t="str">
            <v>SE - DM - OAK HILLS HS</v>
          </cell>
          <cell r="L447" t="str">
            <v>Yes</v>
          </cell>
          <cell r="M447"/>
        </row>
        <row r="448">
          <cell r="D448">
            <v>6373486440</v>
          </cell>
          <cell r="E448" t="str">
            <v>07/23/2006</v>
          </cell>
          <cell r="F448" t="str">
            <v>M</v>
          </cell>
          <cell r="G448">
            <v>12</v>
          </cell>
          <cell r="H448" t="str">
            <v>Autism (AUT)</v>
          </cell>
          <cell r="I448" t="str">
            <v>Y</v>
          </cell>
          <cell r="J448" t="str">
            <v>White</v>
          </cell>
          <cell r="K448" t="str">
            <v>SE - DM - VICTOR VALLEY SR</v>
          </cell>
          <cell r="L448" t="str">
            <v>Yes</v>
          </cell>
          <cell r="M448"/>
        </row>
        <row r="449">
          <cell r="D449">
            <v>3719405812</v>
          </cell>
          <cell r="E449" t="str">
            <v>08/28/2006</v>
          </cell>
          <cell r="F449" t="str">
            <v>F</v>
          </cell>
          <cell r="G449">
            <v>12</v>
          </cell>
          <cell r="H449" t="str">
            <v>Intellectual Disability (ID)</v>
          </cell>
          <cell r="I449" t="str">
            <v>Y</v>
          </cell>
          <cell r="J449" t="str">
            <v>Declined to state/Unknown</v>
          </cell>
          <cell r="K449" t="str">
            <v>SE - WE - LOS OSOS HS</v>
          </cell>
          <cell r="L449" t="str">
            <v>Yes</v>
          </cell>
          <cell r="M449"/>
        </row>
        <row r="450">
          <cell r="D450">
            <v>4081261421</v>
          </cell>
          <cell r="E450" t="str">
            <v>12/13/2008</v>
          </cell>
          <cell r="F450" t="str">
            <v>M</v>
          </cell>
          <cell r="G450">
            <v>11</v>
          </cell>
          <cell r="H450" t="str">
            <v>Other Health Impairment (OHI)</v>
          </cell>
          <cell r="I450" t="str">
            <v>Y</v>
          </cell>
          <cell r="J450" t="str">
            <v>Black or African American</v>
          </cell>
          <cell r="K450" t="str">
            <v>CS - VICTORVILLE EDUCATION CENTER SECOND PROGRAM</v>
          </cell>
          <cell r="L450" t="str">
            <v>Yes</v>
          </cell>
          <cell r="M450"/>
        </row>
        <row r="451">
          <cell r="D451">
            <v>8397276952</v>
          </cell>
          <cell r="E451" t="str">
            <v>05/01/2008</v>
          </cell>
          <cell r="F451" t="str">
            <v>M</v>
          </cell>
          <cell r="G451">
            <v>12</v>
          </cell>
          <cell r="H451" t="str">
            <v>Autism (AUT)</v>
          </cell>
          <cell r="I451" t="str">
            <v>Y</v>
          </cell>
          <cell r="J451" t="str">
            <v>Declined to state/Unknown</v>
          </cell>
          <cell r="K451" t="str">
            <v>SE - DM - SULTANA</v>
          </cell>
          <cell r="L451" t="str">
            <v>Yes</v>
          </cell>
          <cell r="M451"/>
        </row>
        <row r="452">
          <cell r="D452">
            <v>8572784747</v>
          </cell>
          <cell r="E452" t="str">
            <v>12/09/2004</v>
          </cell>
          <cell r="F452" t="str">
            <v>M</v>
          </cell>
          <cell r="G452">
            <v>12</v>
          </cell>
          <cell r="H452" t="str">
            <v>Autism (AUT)</v>
          </cell>
          <cell r="I452" t="str">
            <v>Y</v>
          </cell>
          <cell r="J452" t="str">
            <v>American Indian or Alaskan Native</v>
          </cell>
          <cell r="K452" t="str">
            <v>SE - EV - COLTON HS 2</v>
          </cell>
          <cell r="L452" t="str">
            <v>Yes</v>
          </cell>
          <cell r="M452"/>
        </row>
        <row r="453">
          <cell r="D453">
            <v>6384025653</v>
          </cell>
          <cell r="E453" t="str">
            <v>02/28/2006</v>
          </cell>
          <cell r="F453" t="str">
            <v>M</v>
          </cell>
          <cell r="G453">
            <v>12</v>
          </cell>
          <cell r="H453" t="str">
            <v>Multiple Disability (MD)</v>
          </cell>
          <cell r="I453" t="str">
            <v>Y</v>
          </cell>
          <cell r="J453" t="str">
            <v>American Indian or Alaskan Native</v>
          </cell>
          <cell r="K453" t="str">
            <v>SE - EV - COLTON HS</v>
          </cell>
          <cell r="L453" t="str">
            <v>Yes</v>
          </cell>
          <cell r="M453"/>
        </row>
        <row r="454">
          <cell r="D454">
            <v>8380141211</v>
          </cell>
          <cell r="E454" t="str">
            <v>12/08/2008</v>
          </cell>
          <cell r="F454" t="str">
            <v>M</v>
          </cell>
          <cell r="G454">
            <v>10</v>
          </cell>
          <cell r="H454" t="str">
            <v>Intellectual Disability (ID)</v>
          </cell>
          <cell r="I454" t="str">
            <v>N</v>
          </cell>
          <cell r="J454" t="str">
            <v>Japanese</v>
          </cell>
          <cell r="K454" t="str">
            <v>SE - DM - OAK HILLS HS</v>
          </cell>
          <cell r="L454" t="str">
            <v>Yes</v>
          </cell>
          <cell r="M454"/>
        </row>
        <row r="455">
          <cell r="D455">
            <v>4739589944</v>
          </cell>
          <cell r="E455" t="str">
            <v>08/31/2009</v>
          </cell>
          <cell r="F455" t="str">
            <v>M</v>
          </cell>
          <cell r="G455">
            <v>11</v>
          </cell>
          <cell r="H455" t="str">
            <v>Specific Learning Disability (SLD)</v>
          </cell>
          <cell r="I455" t="str">
            <v>Y</v>
          </cell>
          <cell r="J455" t="str">
            <v>American Indian or Alaskan Native</v>
          </cell>
          <cell r="K455" t="str">
            <v>CS - CHAFFEY WEST CS</v>
          </cell>
          <cell r="L455" t="str">
            <v>Yes</v>
          </cell>
          <cell r="M455"/>
        </row>
        <row r="456">
          <cell r="D456">
            <v>2420083225</v>
          </cell>
          <cell r="E456" t="str">
            <v>06/04/2008</v>
          </cell>
          <cell r="F456" t="str">
            <v>F</v>
          </cell>
          <cell r="G456">
            <v>11</v>
          </cell>
          <cell r="H456" t="str">
            <v>Other Health Impairment (OHI)</v>
          </cell>
          <cell r="I456" t="str">
            <v>Y</v>
          </cell>
          <cell r="J456" t="str">
            <v>Japanese</v>
          </cell>
          <cell r="K456" t="str">
            <v>CS - VISION CS</v>
          </cell>
          <cell r="L456" t="str">
            <v>Yes</v>
          </cell>
          <cell r="M456"/>
        </row>
        <row r="457">
          <cell r="D457">
            <v>9175925171</v>
          </cell>
          <cell r="E457" t="str">
            <v>02/02/2025</v>
          </cell>
          <cell r="F457" t="str">
            <v>M</v>
          </cell>
          <cell r="G457">
            <v>16</v>
          </cell>
          <cell r="H457" t="str">
            <v>Visual Impairment (VI)</v>
          </cell>
          <cell r="I457" t="str">
            <v>N</v>
          </cell>
          <cell r="J457" t="str">
            <v>White</v>
          </cell>
          <cell r="K457" t="str">
            <v>SE - WE - EARLY START</v>
          </cell>
          <cell r="L457" t="str">
            <v>Yes</v>
          </cell>
          <cell r="M457"/>
        </row>
        <row r="458">
          <cell r="D458">
            <v>3359351520</v>
          </cell>
          <cell r="E458" t="str">
            <v>12/04/2010</v>
          </cell>
          <cell r="F458" t="str">
            <v>M</v>
          </cell>
          <cell r="G458">
            <v>9</v>
          </cell>
          <cell r="H458" t="str">
            <v>Other Health Impairment (OHI)</v>
          </cell>
          <cell r="I458" t="str">
            <v>N</v>
          </cell>
          <cell r="J458" t="str">
            <v>Filipino</v>
          </cell>
          <cell r="K458" t="str">
            <v>JCS - EAST VALLEY JUV COURT SCHOOL</v>
          </cell>
          <cell r="L458" t="str">
            <v>Yes</v>
          </cell>
          <cell r="M458"/>
        </row>
        <row r="459">
          <cell r="D459">
            <v>1755854166</v>
          </cell>
          <cell r="E459" t="str">
            <v>07/21/2011</v>
          </cell>
          <cell r="F459" t="str">
            <v>F</v>
          </cell>
          <cell r="G459">
            <v>9</v>
          </cell>
          <cell r="H459" t="str">
            <v>Intellectual Disability (ID)</v>
          </cell>
          <cell r="I459" t="str">
            <v>Y</v>
          </cell>
          <cell r="J459" t="str">
            <v>White</v>
          </cell>
          <cell r="K459" t="str">
            <v>SE - DM - LUCERNE SR</v>
          </cell>
          <cell r="L459" t="str">
            <v>Yes</v>
          </cell>
          <cell r="M459"/>
        </row>
        <row r="460">
          <cell r="D460">
            <v>7186823616</v>
          </cell>
          <cell r="E460" t="str">
            <v>11/03/2004</v>
          </cell>
          <cell r="F460" t="str">
            <v>M</v>
          </cell>
          <cell r="G460">
            <v>12</v>
          </cell>
          <cell r="H460" t="str">
            <v>Autism (AUT)</v>
          </cell>
          <cell r="I460" t="str">
            <v>N</v>
          </cell>
          <cell r="J460" t="str">
            <v>White</v>
          </cell>
          <cell r="K460" t="str">
            <v>SE - WE - CHINO HS</v>
          </cell>
          <cell r="L460" t="str">
            <v>Yes</v>
          </cell>
          <cell r="M460"/>
        </row>
        <row r="461">
          <cell r="D461">
            <v>6987152553</v>
          </cell>
          <cell r="E461" t="str">
            <v>03/06/2010</v>
          </cell>
          <cell r="F461" t="str">
            <v>M</v>
          </cell>
          <cell r="G461">
            <v>10</v>
          </cell>
          <cell r="H461" t="str">
            <v>Autism (AUT)</v>
          </cell>
          <cell r="I461" t="str">
            <v>N</v>
          </cell>
          <cell r="J461" t="str">
            <v>White</v>
          </cell>
          <cell r="K461" t="str">
            <v>SE - DM - GRANITE HILL</v>
          </cell>
          <cell r="L461" t="str">
            <v>Yes</v>
          </cell>
          <cell r="M461"/>
        </row>
        <row r="462">
          <cell r="D462">
            <v>3889623611</v>
          </cell>
          <cell r="E462" t="str">
            <v>11/09/2023</v>
          </cell>
          <cell r="F462" t="str">
            <v>M</v>
          </cell>
          <cell r="G462">
            <v>16</v>
          </cell>
          <cell r="H462" t="str">
            <v>Other Health Impairment (OHI)</v>
          </cell>
          <cell r="I462" t="str">
            <v>Y</v>
          </cell>
          <cell r="J462" t="str">
            <v>Black or African American</v>
          </cell>
          <cell r="K462" t="str">
            <v>SE - EV - EARLY START</v>
          </cell>
          <cell r="L462" t="str">
            <v>Yes</v>
          </cell>
          <cell r="M462"/>
        </row>
        <row r="463">
          <cell r="D463">
            <v>2470840762</v>
          </cell>
          <cell r="E463" t="str">
            <v>02/26/2009</v>
          </cell>
          <cell r="F463" t="str">
            <v>M</v>
          </cell>
          <cell r="G463">
            <v>11</v>
          </cell>
          <cell r="H463" t="str">
            <v>Intellectual Disability (ID)</v>
          </cell>
          <cell r="I463" t="str">
            <v>Y</v>
          </cell>
          <cell r="J463" t="str">
            <v>Declined to state/Unknown</v>
          </cell>
          <cell r="K463" t="str">
            <v>SE - WE - UPLAND HS</v>
          </cell>
          <cell r="L463" t="str">
            <v>Yes</v>
          </cell>
          <cell r="M463"/>
        </row>
        <row r="464">
          <cell r="D464">
            <v>5906968648</v>
          </cell>
          <cell r="E464" t="str">
            <v>12/04/2008</v>
          </cell>
          <cell r="F464" t="str">
            <v>M</v>
          </cell>
          <cell r="G464">
            <v>11</v>
          </cell>
          <cell r="H464" t="str">
            <v>Autism (AUT)</v>
          </cell>
          <cell r="I464" t="str">
            <v>Y</v>
          </cell>
          <cell r="J464" t="str">
            <v>Declined to state/Unknown</v>
          </cell>
          <cell r="K464" t="str">
            <v>SE - DM - SULTANA</v>
          </cell>
          <cell r="L464" t="str">
            <v>Yes</v>
          </cell>
          <cell r="M464"/>
        </row>
        <row r="465">
          <cell r="D465">
            <v>4108053104</v>
          </cell>
          <cell r="E465" t="str">
            <v>11/09/2008</v>
          </cell>
          <cell r="F465" t="str">
            <v>M</v>
          </cell>
          <cell r="G465">
            <v>11</v>
          </cell>
          <cell r="H465" t="str">
            <v>Autism (AUT)</v>
          </cell>
          <cell r="I465" t="str">
            <v>N</v>
          </cell>
          <cell r="J465" t="str">
            <v>Black or African American</v>
          </cell>
          <cell r="K465" t="str">
            <v>SE - DM - VICTOR VALLEY SR</v>
          </cell>
          <cell r="L465" t="str">
            <v>Yes</v>
          </cell>
          <cell r="M465"/>
        </row>
        <row r="466">
          <cell r="D466">
            <v>3562614202</v>
          </cell>
          <cell r="E466" t="str">
            <v>07/21/2010</v>
          </cell>
          <cell r="F466" t="str">
            <v>M</v>
          </cell>
          <cell r="G466">
            <v>10</v>
          </cell>
          <cell r="H466" t="str">
            <v>Autism (AUT)</v>
          </cell>
          <cell r="I466" t="str">
            <v>Y</v>
          </cell>
          <cell r="J466" t="str">
            <v>White</v>
          </cell>
          <cell r="K466" t="str">
            <v>SE - DM - VISION ALT LEARNING ACADEMY</v>
          </cell>
          <cell r="L466" t="str">
            <v>Yes</v>
          </cell>
          <cell r="M466"/>
        </row>
        <row r="467">
          <cell r="D467">
            <v>2186968375</v>
          </cell>
          <cell r="E467" t="str">
            <v>12/02/2005</v>
          </cell>
          <cell r="F467" t="str">
            <v>M</v>
          </cell>
          <cell r="G467">
            <v>12</v>
          </cell>
          <cell r="H467" t="str">
            <v>Multiple Disability (MD)</v>
          </cell>
          <cell r="I467" t="str">
            <v>Y</v>
          </cell>
          <cell r="J467" t="str">
            <v>Declined to state/Unknown</v>
          </cell>
          <cell r="K467" t="str">
            <v>SE - WE - LOS OSOS HS</v>
          </cell>
          <cell r="L467" t="str">
            <v>Yes</v>
          </cell>
          <cell r="M467"/>
        </row>
        <row r="468">
          <cell r="D468">
            <v>8277553102</v>
          </cell>
          <cell r="E468" t="str">
            <v>10/19/2006</v>
          </cell>
          <cell r="F468" t="str">
            <v>F</v>
          </cell>
          <cell r="G468">
            <v>12</v>
          </cell>
          <cell r="H468" t="str">
            <v>Intellectual Disability (ID)</v>
          </cell>
          <cell r="I468" t="str">
            <v>Y</v>
          </cell>
          <cell r="J468" t="str">
            <v>Declined to state/Unknown</v>
          </cell>
          <cell r="K468" t="str">
            <v>SE - DM - SERRANO</v>
          </cell>
          <cell r="L468" t="str">
            <v>Yes</v>
          </cell>
          <cell r="M468"/>
        </row>
        <row r="469">
          <cell r="D469">
            <v>8446608448</v>
          </cell>
          <cell r="E469" t="str">
            <v>09/08/2024</v>
          </cell>
          <cell r="F469" t="str">
            <v>M</v>
          </cell>
          <cell r="G469">
            <v>16</v>
          </cell>
          <cell r="H469" t="str">
            <v>Hard of Hearing (HH)</v>
          </cell>
          <cell r="I469" t="str">
            <v>Y</v>
          </cell>
          <cell r="J469" t="str">
            <v>White</v>
          </cell>
          <cell r="K469" t="str">
            <v>SE - DM - EARLY START</v>
          </cell>
          <cell r="L469" t="str">
            <v>Yes</v>
          </cell>
          <cell r="M469"/>
        </row>
        <row r="470">
          <cell r="D470">
            <v>9298008797</v>
          </cell>
          <cell r="E470" t="str">
            <v>03/22/2008</v>
          </cell>
          <cell r="F470" t="str">
            <v>F</v>
          </cell>
          <cell r="G470">
            <v>12</v>
          </cell>
          <cell r="H470" t="str">
            <v>Emotional Disturbance (ED)</v>
          </cell>
          <cell r="I470" t="str">
            <v>N</v>
          </cell>
          <cell r="J470" t="str">
            <v>White</v>
          </cell>
          <cell r="K470" t="str">
            <v>SE - EV - BARBARA PHELPS SP ED</v>
          </cell>
          <cell r="L470" t="str">
            <v>Yes</v>
          </cell>
          <cell r="M470"/>
        </row>
        <row r="471">
          <cell r="D471">
            <v>3674061900</v>
          </cell>
          <cell r="E471" t="str">
            <v>08/24/2010</v>
          </cell>
          <cell r="F471" t="str">
            <v>F</v>
          </cell>
          <cell r="G471">
            <v>10</v>
          </cell>
          <cell r="H471" t="str">
            <v>Autism (AUT)</v>
          </cell>
          <cell r="I471" t="str">
            <v>N</v>
          </cell>
          <cell r="J471" t="str">
            <v>White</v>
          </cell>
          <cell r="K471" t="str">
            <v>SE - DM - GRANITE HILL</v>
          </cell>
          <cell r="L471" t="str">
            <v>Yes</v>
          </cell>
          <cell r="M471"/>
        </row>
        <row r="472">
          <cell r="D472">
            <v>7938949331</v>
          </cell>
          <cell r="E472" t="str">
            <v>11/28/2008</v>
          </cell>
          <cell r="F472" t="str">
            <v>F</v>
          </cell>
          <cell r="G472">
            <v>11</v>
          </cell>
          <cell r="H472" t="str">
            <v>Autism (AUT)</v>
          </cell>
          <cell r="I472" t="str">
            <v>Y</v>
          </cell>
          <cell r="J472" t="str">
            <v>White</v>
          </cell>
          <cell r="K472" t="str">
            <v>SE - DM - GRANITE HILL</v>
          </cell>
          <cell r="L472" t="str">
            <v>Yes</v>
          </cell>
          <cell r="M472"/>
        </row>
        <row r="473">
          <cell r="D473">
            <v>1705955804</v>
          </cell>
          <cell r="E473" t="str">
            <v>08/03/2010</v>
          </cell>
          <cell r="F473" t="str">
            <v>F</v>
          </cell>
          <cell r="G473">
            <v>9</v>
          </cell>
          <cell r="H473" t="str">
            <v>Traumatic Brain Injury (TBI)</v>
          </cell>
          <cell r="I473" t="str">
            <v>Y</v>
          </cell>
          <cell r="J473" t="str">
            <v>White</v>
          </cell>
          <cell r="K473" t="str">
            <v>SE - DM - SULTANA</v>
          </cell>
          <cell r="L473" t="str">
            <v>Yes</v>
          </cell>
          <cell r="M473"/>
        </row>
        <row r="474">
          <cell r="D474">
            <v>7167754157</v>
          </cell>
          <cell r="E474" t="str">
            <v>11/17/2008</v>
          </cell>
          <cell r="F474" t="str">
            <v>M</v>
          </cell>
          <cell r="G474">
            <v>12</v>
          </cell>
          <cell r="H474" t="str">
            <v>Autism (AUT)</v>
          </cell>
          <cell r="I474" t="str">
            <v>Y</v>
          </cell>
          <cell r="J474" t="str">
            <v>Declined to state/Unknown</v>
          </cell>
          <cell r="K474" t="str">
            <v>SE - DM - SERRANO</v>
          </cell>
          <cell r="L474" t="str">
            <v>Yes</v>
          </cell>
          <cell r="M474"/>
        </row>
        <row r="475">
          <cell r="D475">
            <v>2542931460</v>
          </cell>
          <cell r="E475" t="str">
            <v>11/28/2025</v>
          </cell>
          <cell r="F475" t="str">
            <v>M</v>
          </cell>
          <cell r="G475">
            <v>16</v>
          </cell>
          <cell r="H475" t="str">
            <v>Hard of Hearing (HH)</v>
          </cell>
          <cell r="I475" t="str">
            <v>Y</v>
          </cell>
          <cell r="J475" t="str">
            <v>White</v>
          </cell>
          <cell r="K475" t="str">
            <v>SE - WE - EARLY START</v>
          </cell>
          <cell r="L475" t="str">
            <v>Yes</v>
          </cell>
          <cell r="M475"/>
        </row>
        <row r="476">
          <cell r="D476">
            <v>6549758425</v>
          </cell>
          <cell r="E476" t="str">
            <v>09/08/2008</v>
          </cell>
          <cell r="F476" t="str">
            <v>M</v>
          </cell>
          <cell r="G476">
            <v>12</v>
          </cell>
          <cell r="H476" t="str">
            <v>Specific Learning Disability (SLD)</v>
          </cell>
          <cell r="I476" t="str">
            <v>Y</v>
          </cell>
          <cell r="J476" t="str">
            <v>White</v>
          </cell>
          <cell r="K476" t="str">
            <v>JCS - EAST VALLEY JUV COURT SCHOOL</v>
          </cell>
          <cell r="L476" t="str">
            <v>Yes</v>
          </cell>
          <cell r="M476"/>
        </row>
        <row r="477">
          <cell r="D477">
            <v>1488377676</v>
          </cell>
          <cell r="E477" t="str">
            <v>06/19/2008</v>
          </cell>
          <cell r="F477" t="str">
            <v>F</v>
          </cell>
          <cell r="G477">
            <v>12</v>
          </cell>
          <cell r="H477" t="str">
            <v>Intellectual Disability (ID)</v>
          </cell>
          <cell r="I477" t="str">
            <v>Y</v>
          </cell>
          <cell r="J477" t="str">
            <v>White</v>
          </cell>
          <cell r="K477" t="str">
            <v>SE - DM - VICTOR VALLEY SR</v>
          </cell>
          <cell r="L477" t="str">
            <v>Yes</v>
          </cell>
          <cell r="M477"/>
        </row>
        <row r="478">
          <cell r="D478">
            <v>5597342155</v>
          </cell>
          <cell r="E478" t="str">
            <v>07/11/2024</v>
          </cell>
          <cell r="F478" t="str">
            <v>M</v>
          </cell>
          <cell r="G478">
            <v>16</v>
          </cell>
          <cell r="H478" t="str">
            <v>Multiple Disability (MD)</v>
          </cell>
          <cell r="I478" t="str">
            <v>Y</v>
          </cell>
          <cell r="J478" t="str">
            <v>Declined to state/Unknown</v>
          </cell>
          <cell r="K478" t="str">
            <v>SE - EV - EARLY START</v>
          </cell>
          <cell r="L478" t="str">
            <v>Yes</v>
          </cell>
          <cell r="M478"/>
        </row>
        <row r="479">
          <cell r="D479">
            <v>3123981303</v>
          </cell>
          <cell r="E479" t="str">
            <v>06/22/2010</v>
          </cell>
          <cell r="F479" t="str">
            <v>M</v>
          </cell>
          <cell r="G479">
            <v>10</v>
          </cell>
          <cell r="H479" t="str">
            <v>Intellectual Disability (ID)</v>
          </cell>
          <cell r="I479" t="str">
            <v>Y</v>
          </cell>
          <cell r="J479" t="str">
            <v>White</v>
          </cell>
          <cell r="K479" t="str">
            <v>SE - EV - RIALTO HS 2</v>
          </cell>
          <cell r="L479" t="str">
            <v>Yes</v>
          </cell>
          <cell r="M479"/>
        </row>
        <row r="480">
          <cell r="D480">
            <v>8901452711</v>
          </cell>
          <cell r="E480" t="str">
            <v>09/09/2009</v>
          </cell>
          <cell r="F480" t="str">
            <v>M</v>
          </cell>
          <cell r="G480">
            <v>10</v>
          </cell>
          <cell r="H480" t="str">
            <v>Multiple Disability (MD)</v>
          </cell>
          <cell r="I480" t="str">
            <v>Y</v>
          </cell>
          <cell r="J480" t="str">
            <v>White</v>
          </cell>
          <cell r="K480" t="str">
            <v>SE - DM - SULTANA</v>
          </cell>
          <cell r="L480" t="str">
            <v>Yes</v>
          </cell>
          <cell r="M480"/>
        </row>
        <row r="481">
          <cell r="D481">
            <v>4981228986</v>
          </cell>
          <cell r="E481" t="str">
            <v>06/05/2008</v>
          </cell>
          <cell r="F481" t="str">
            <v>M</v>
          </cell>
          <cell r="G481">
            <v>12</v>
          </cell>
          <cell r="H481" t="str">
            <v>Hard of Hearing (HH)</v>
          </cell>
          <cell r="I481" t="str">
            <v>Y</v>
          </cell>
          <cell r="J481" t="str">
            <v>White</v>
          </cell>
          <cell r="K481" t="str">
            <v>SE - DM - HESPERIA SR</v>
          </cell>
          <cell r="L481" t="str">
            <v>Yes</v>
          </cell>
          <cell r="M481"/>
        </row>
        <row r="482">
          <cell r="D482">
            <v>8192119588</v>
          </cell>
          <cell r="E482" t="str">
            <v>12/10/2008</v>
          </cell>
          <cell r="F482" t="str">
            <v>M</v>
          </cell>
          <cell r="G482">
            <v>11</v>
          </cell>
          <cell r="H482" t="str">
            <v>Intellectual Disability (ID)</v>
          </cell>
          <cell r="I482" t="str">
            <v>Y</v>
          </cell>
          <cell r="J482" t="str">
            <v>American Indian or Alaskan Native</v>
          </cell>
          <cell r="K482" t="str">
            <v>SE - DM - VICTOR VALLEY SR</v>
          </cell>
          <cell r="L482" t="str">
            <v>Yes</v>
          </cell>
          <cell r="M482"/>
        </row>
        <row r="483">
          <cell r="D483">
            <v>8438624730</v>
          </cell>
          <cell r="E483" t="str">
            <v>09/01/2010</v>
          </cell>
          <cell r="F483" t="str">
            <v>F</v>
          </cell>
          <cell r="G483">
            <v>10</v>
          </cell>
          <cell r="H483" t="str">
            <v>Deafness (DEAF)/Hearing Impairment (HI)</v>
          </cell>
          <cell r="I483" t="str">
            <v>Y</v>
          </cell>
          <cell r="J483" t="str">
            <v>White</v>
          </cell>
          <cell r="K483" t="str">
            <v>SE - DM - HESPERIA SR</v>
          </cell>
          <cell r="L483" t="str">
            <v>Yes</v>
          </cell>
          <cell r="M483"/>
        </row>
        <row r="484">
          <cell r="D484">
            <v>4389284081</v>
          </cell>
          <cell r="E484" t="str">
            <v>03/14/2007</v>
          </cell>
          <cell r="F484" t="str">
            <v>F</v>
          </cell>
          <cell r="G484">
            <v>12</v>
          </cell>
          <cell r="H484" t="str">
            <v>Intellectual Disability (ID)</v>
          </cell>
          <cell r="I484" t="str">
            <v>Y</v>
          </cell>
          <cell r="J484" t="str">
            <v>Declined to state/Unknown</v>
          </cell>
          <cell r="K484" t="str">
            <v>SE - WE - ALTA LOMA HS</v>
          </cell>
          <cell r="L484" t="str">
            <v>Yes</v>
          </cell>
          <cell r="M484"/>
        </row>
        <row r="485">
          <cell r="D485">
            <v>5109409304</v>
          </cell>
          <cell r="E485" t="str">
            <v>10/30/2023</v>
          </cell>
          <cell r="F485" t="str">
            <v>M</v>
          </cell>
          <cell r="G485">
            <v>16</v>
          </cell>
          <cell r="H485" t="str">
            <v>Speech or Language Impairment (SLI)</v>
          </cell>
          <cell r="I485" t="str">
            <v>Y</v>
          </cell>
          <cell r="J485" t="str">
            <v>White</v>
          </cell>
          <cell r="K485" t="str">
            <v>SE - EV - EARLY START</v>
          </cell>
          <cell r="L485" t="str">
            <v>Yes</v>
          </cell>
          <cell r="M485"/>
        </row>
        <row r="486">
          <cell r="D486">
            <v>6961191671</v>
          </cell>
          <cell r="E486" t="str">
            <v>07/27/2011</v>
          </cell>
          <cell r="F486" t="str">
            <v>F</v>
          </cell>
          <cell r="G486">
            <v>9</v>
          </cell>
          <cell r="H486" t="str">
            <v>Autism (AUT)</v>
          </cell>
          <cell r="I486" t="str">
            <v>Y</v>
          </cell>
          <cell r="J486" t="str">
            <v>Declined to state/Unknown</v>
          </cell>
          <cell r="K486" t="str">
            <v>SE - WE - CHINO HS</v>
          </cell>
          <cell r="L486" t="str">
            <v>Yes</v>
          </cell>
          <cell r="M486"/>
        </row>
        <row r="487">
          <cell r="D487">
            <v>2619297167</v>
          </cell>
          <cell r="E487" t="str">
            <v>10/17/2007</v>
          </cell>
          <cell r="F487" t="str">
            <v>M</v>
          </cell>
          <cell r="G487">
            <v>12</v>
          </cell>
          <cell r="H487" t="str">
            <v>Specific Learning Disability (SLD)</v>
          </cell>
          <cell r="I487" t="str">
            <v>Y</v>
          </cell>
          <cell r="J487" t="str">
            <v>American Indian or Alaskan Native</v>
          </cell>
          <cell r="K487" t="str">
            <v>CS - BARBARA PHELPS CS</v>
          </cell>
          <cell r="L487" t="str">
            <v>Yes</v>
          </cell>
          <cell r="M487"/>
        </row>
        <row r="488">
          <cell r="D488">
            <v>7635694645</v>
          </cell>
          <cell r="E488" t="str">
            <v>12/15/2006</v>
          </cell>
          <cell r="F488" t="str">
            <v>F</v>
          </cell>
          <cell r="G488">
            <v>12</v>
          </cell>
          <cell r="H488" t="str">
            <v>Multiple Disability (MD)</v>
          </cell>
          <cell r="I488" t="str">
            <v>Y</v>
          </cell>
          <cell r="J488" t="str">
            <v>White</v>
          </cell>
          <cell r="K488" t="str">
            <v>SE - EV - COLTON HS</v>
          </cell>
          <cell r="L488" t="str">
            <v>Yes</v>
          </cell>
          <cell r="M488"/>
        </row>
        <row r="489">
          <cell r="D489">
            <v>9847441451</v>
          </cell>
          <cell r="E489" t="str">
            <v>10/14/2024</v>
          </cell>
          <cell r="F489" t="str">
            <v>F</v>
          </cell>
          <cell r="G489">
            <v>16</v>
          </cell>
          <cell r="H489" t="str">
            <v>Other Health Impairment (OHI)</v>
          </cell>
          <cell r="I489" t="str">
            <v>N</v>
          </cell>
          <cell r="J489" t="str">
            <v>Other Asian</v>
          </cell>
          <cell r="K489" t="str">
            <v>SE - WE - EARLY START</v>
          </cell>
          <cell r="L489" t="str">
            <v>Yes</v>
          </cell>
          <cell r="M489"/>
        </row>
        <row r="490">
          <cell r="D490">
            <v>2823641392</v>
          </cell>
          <cell r="E490" t="str">
            <v>02/06/2024</v>
          </cell>
          <cell r="F490" t="str">
            <v>M</v>
          </cell>
          <cell r="G490">
            <v>16</v>
          </cell>
          <cell r="H490" t="str">
            <v>Speech or Language Impairment (SLI)</v>
          </cell>
          <cell r="I490" t="str">
            <v>Y</v>
          </cell>
          <cell r="J490" t="str">
            <v>White</v>
          </cell>
          <cell r="K490" t="str">
            <v>SE - EV - EARLY START</v>
          </cell>
          <cell r="L490" t="str">
            <v>Yes</v>
          </cell>
          <cell r="M490"/>
        </row>
        <row r="491">
          <cell r="D491">
            <v>6006004942</v>
          </cell>
          <cell r="E491" t="str">
            <v>11/21/2007</v>
          </cell>
          <cell r="F491" t="str">
            <v>M</v>
          </cell>
          <cell r="G491">
            <v>12</v>
          </cell>
          <cell r="H491" t="str">
            <v>Autism (AUT)</v>
          </cell>
          <cell r="I491" t="str">
            <v>Y</v>
          </cell>
          <cell r="J491" t="str">
            <v>White</v>
          </cell>
          <cell r="K491" t="str">
            <v>SE - DM - VISION ALT LEARNING ACADEMY</v>
          </cell>
          <cell r="L491" t="str">
            <v>Yes</v>
          </cell>
          <cell r="M491"/>
        </row>
        <row r="492">
          <cell r="D492">
            <v>9092604418</v>
          </cell>
          <cell r="E492" t="str">
            <v>03/23/2009</v>
          </cell>
          <cell r="F492" t="str">
            <v>M</v>
          </cell>
          <cell r="G492">
            <v>11</v>
          </cell>
          <cell r="H492" t="str">
            <v>Autism (AUT)</v>
          </cell>
          <cell r="I492" t="str">
            <v>N</v>
          </cell>
          <cell r="J492" t="str">
            <v>Black or African American</v>
          </cell>
          <cell r="K492" t="str">
            <v>SE - DM - OAK HILLS HS</v>
          </cell>
          <cell r="L492" t="str">
            <v>Yes</v>
          </cell>
          <cell r="M492"/>
        </row>
        <row r="493">
          <cell r="D493">
            <v>6379515202</v>
          </cell>
          <cell r="E493" t="str">
            <v>09/17/2008</v>
          </cell>
          <cell r="F493" t="str">
            <v>F</v>
          </cell>
          <cell r="G493">
            <v>12</v>
          </cell>
          <cell r="H493" t="str">
            <v>Multiple Disability (MD)</v>
          </cell>
          <cell r="I493" t="str">
            <v>Y</v>
          </cell>
          <cell r="J493" t="str">
            <v>White</v>
          </cell>
          <cell r="K493" t="str">
            <v>SE - DM - COBALT IMS</v>
          </cell>
          <cell r="L493" t="str">
            <v>Yes</v>
          </cell>
          <cell r="M493"/>
        </row>
        <row r="494">
          <cell r="D494">
            <v>5935716944</v>
          </cell>
          <cell r="E494" t="str">
            <v>06/11/2023</v>
          </cell>
          <cell r="F494" t="str">
            <v>M</v>
          </cell>
          <cell r="G494">
            <v>16</v>
          </cell>
          <cell r="H494" t="str">
            <v>Hard of Hearing (HH)</v>
          </cell>
          <cell r="I494" t="str">
            <v>Y</v>
          </cell>
          <cell r="J494" t="str">
            <v>White</v>
          </cell>
          <cell r="K494" t="str">
            <v>SE - DM - EARLY START</v>
          </cell>
          <cell r="L494" t="str">
            <v>Yes</v>
          </cell>
          <cell r="M494"/>
        </row>
        <row r="495">
          <cell r="D495">
            <v>4275184612</v>
          </cell>
          <cell r="E495" t="str">
            <v>12/21/2024</v>
          </cell>
          <cell r="F495" t="str">
            <v>M</v>
          </cell>
          <cell r="G495">
            <v>16</v>
          </cell>
          <cell r="H495" t="str">
            <v>Orthopedic Impairment (OI)</v>
          </cell>
          <cell r="I495" t="str">
            <v>Y</v>
          </cell>
          <cell r="J495" t="str">
            <v>Chinese</v>
          </cell>
          <cell r="K495" t="str">
            <v>SE - WE - EARLY START</v>
          </cell>
          <cell r="L495" t="str">
            <v>Yes</v>
          </cell>
          <cell r="M495"/>
        </row>
        <row r="496">
          <cell r="D496">
            <v>6420705693</v>
          </cell>
          <cell r="E496" t="str">
            <v>06/27/2010</v>
          </cell>
          <cell r="F496" t="str">
            <v>M</v>
          </cell>
          <cell r="G496">
            <v>10</v>
          </cell>
          <cell r="H496" t="str">
            <v>Hard of Hearing (HH)</v>
          </cell>
          <cell r="I496" t="str">
            <v>Y</v>
          </cell>
          <cell r="J496" t="str">
            <v>American Indian or Alaskan Native</v>
          </cell>
          <cell r="K496" t="str">
            <v>SE - DM - NEEDLES SR</v>
          </cell>
          <cell r="L496" t="str">
            <v>Yes</v>
          </cell>
          <cell r="M496"/>
        </row>
        <row r="497">
          <cell r="D497">
            <v>4505620566</v>
          </cell>
          <cell r="E497" t="str">
            <v>06/19/2007</v>
          </cell>
          <cell r="F497" t="str">
            <v>M</v>
          </cell>
          <cell r="G497">
            <v>12</v>
          </cell>
          <cell r="H497" t="str">
            <v>Specific Learning Disability (SLD)</v>
          </cell>
          <cell r="I497" t="str">
            <v>Y</v>
          </cell>
          <cell r="J497" t="str">
            <v>American Indian or Alaskan Native</v>
          </cell>
          <cell r="K497" t="str">
            <v>CS - BOB MURPHY CS</v>
          </cell>
          <cell r="L497" t="str">
            <v>Yes</v>
          </cell>
          <cell r="M497"/>
        </row>
        <row r="498">
          <cell r="D498">
            <v>3653514461</v>
          </cell>
          <cell r="E498" t="str">
            <v>07/06/2004</v>
          </cell>
          <cell r="F498" t="str">
            <v>F</v>
          </cell>
          <cell r="G498">
            <v>12</v>
          </cell>
          <cell r="H498" t="str">
            <v>Multiple Disability (MD)</v>
          </cell>
          <cell r="I498" t="str">
            <v>N</v>
          </cell>
          <cell r="J498" t="str">
            <v>White</v>
          </cell>
          <cell r="K498" t="str">
            <v>SE - EV - RIALTO HS 2</v>
          </cell>
          <cell r="L498" t="str">
            <v>Yes</v>
          </cell>
          <cell r="M498"/>
        </row>
        <row r="499">
          <cell r="D499">
            <v>2426873038</v>
          </cell>
          <cell r="E499" t="str">
            <v>09/25/2009</v>
          </cell>
          <cell r="F499" t="str">
            <v>F</v>
          </cell>
          <cell r="G499">
            <v>10</v>
          </cell>
          <cell r="H499" t="str">
            <v>Multiple Disability (MD)</v>
          </cell>
          <cell r="I499" t="str">
            <v>Y</v>
          </cell>
          <cell r="J499" t="str">
            <v>White</v>
          </cell>
          <cell r="K499" t="str">
            <v>SE - DM - COBALT IMS</v>
          </cell>
          <cell r="L499" t="str">
            <v>Yes</v>
          </cell>
          <cell r="M499"/>
        </row>
        <row r="500">
          <cell r="D500">
            <v>2641898068</v>
          </cell>
          <cell r="E500" t="str">
            <v>12/01/2007</v>
          </cell>
          <cell r="F500" t="str">
            <v>M</v>
          </cell>
          <cell r="G500">
            <v>12</v>
          </cell>
          <cell r="H500" t="str">
            <v>Autism (AUT)</v>
          </cell>
          <cell r="I500" t="str">
            <v>Y</v>
          </cell>
          <cell r="J500" t="str">
            <v>Declined to state/Unknown</v>
          </cell>
          <cell r="K500" t="str">
            <v>SE - WE - CHINO HS</v>
          </cell>
          <cell r="L500" t="str">
            <v>Yes</v>
          </cell>
          <cell r="M500"/>
        </row>
        <row r="501">
          <cell r="D501">
            <v>7328534466</v>
          </cell>
          <cell r="E501" t="str">
            <v>12/21/2005</v>
          </cell>
          <cell r="F501" t="str">
            <v>F</v>
          </cell>
          <cell r="G501">
            <v>12</v>
          </cell>
          <cell r="H501" t="str">
            <v>Intellectual Disability (ID)</v>
          </cell>
          <cell r="I501" t="str">
            <v>Y</v>
          </cell>
          <cell r="J501" t="str">
            <v>Declined to state/Unknown</v>
          </cell>
          <cell r="K501" t="str">
            <v>SE - WE - ALTA LOMA HS</v>
          </cell>
          <cell r="L501" t="str">
            <v>Yes</v>
          </cell>
          <cell r="M501"/>
        </row>
        <row r="502">
          <cell r="D502">
            <v>3087604348</v>
          </cell>
          <cell r="E502" t="str">
            <v>07/04/2008</v>
          </cell>
          <cell r="F502" t="str">
            <v>M</v>
          </cell>
          <cell r="G502">
            <v>11</v>
          </cell>
          <cell r="H502" t="str">
            <v>Autism (AUT)</v>
          </cell>
          <cell r="I502" t="str">
            <v>Y</v>
          </cell>
          <cell r="J502" t="str">
            <v>White</v>
          </cell>
          <cell r="K502" t="str">
            <v>SE - WE - UPLAND HS</v>
          </cell>
          <cell r="L502" t="str">
            <v>Yes</v>
          </cell>
          <cell r="M502"/>
        </row>
        <row r="503">
          <cell r="D503">
            <v>3551335931</v>
          </cell>
          <cell r="E503" t="str">
            <v>06/10/2009</v>
          </cell>
          <cell r="F503" t="str">
            <v>M</v>
          </cell>
          <cell r="G503">
            <v>11</v>
          </cell>
          <cell r="H503" t="str">
            <v>Autism (AUT)</v>
          </cell>
          <cell r="I503" t="str">
            <v>N</v>
          </cell>
          <cell r="J503" t="str">
            <v>White</v>
          </cell>
          <cell r="K503" t="str">
            <v>SE - DM - OAK HILLS HS</v>
          </cell>
          <cell r="L503" t="str">
            <v>Yes</v>
          </cell>
          <cell r="M503"/>
        </row>
        <row r="504">
          <cell r="D504">
            <v>8186904628</v>
          </cell>
          <cell r="E504" t="str">
            <v>12/01/2005</v>
          </cell>
          <cell r="F504" t="str">
            <v>M</v>
          </cell>
          <cell r="G504">
            <v>12</v>
          </cell>
          <cell r="H504" t="str">
            <v>Multiple Disability (MD)</v>
          </cell>
          <cell r="I504" t="str">
            <v>N</v>
          </cell>
          <cell r="J504" t="str">
            <v>White</v>
          </cell>
          <cell r="K504" t="str">
            <v>SE - WE - LOS OSOS HS</v>
          </cell>
          <cell r="L504" t="str">
            <v>Yes</v>
          </cell>
          <cell r="M504"/>
        </row>
        <row r="505">
          <cell r="D505">
            <v>9985879889</v>
          </cell>
          <cell r="E505" t="str">
            <v>08/31/2004</v>
          </cell>
          <cell r="F505" t="str">
            <v>M</v>
          </cell>
          <cell r="G505">
            <v>12</v>
          </cell>
          <cell r="H505" t="str">
            <v>Emotional Disturbance (ED)</v>
          </cell>
          <cell r="I505" t="str">
            <v>N</v>
          </cell>
          <cell r="J505" t="str">
            <v>Black or African American</v>
          </cell>
          <cell r="K505" t="str">
            <v>SE - INDEPENDENT STUDY</v>
          </cell>
          <cell r="L505" t="str">
            <v>Yes</v>
          </cell>
          <cell r="M505"/>
        </row>
        <row r="506">
          <cell r="D506">
            <v>7645463684</v>
          </cell>
          <cell r="E506" t="str">
            <v>11/14/2008</v>
          </cell>
          <cell r="F506" t="str">
            <v>M</v>
          </cell>
          <cell r="G506">
            <v>11</v>
          </cell>
          <cell r="H506" t="str">
            <v>Other Health Impairment (OHI)</v>
          </cell>
          <cell r="I506" t="str">
            <v>N</v>
          </cell>
          <cell r="J506" t="str">
            <v>Black or African American</v>
          </cell>
          <cell r="K506" t="str">
            <v>JCS - EAST VALLEY JUV COURT SCHOOL</v>
          </cell>
          <cell r="L506" t="str">
            <v>Yes</v>
          </cell>
          <cell r="M506"/>
        </row>
        <row r="507">
          <cell r="D507">
            <v>8218278742</v>
          </cell>
          <cell r="E507" t="str">
            <v>12/14/2009</v>
          </cell>
          <cell r="F507" t="str">
            <v>M</v>
          </cell>
          <cell r="G507">
            <v>10</v>
          </cell>
          <cell r="H507" t="str">
            <v>Specific Learning Disability (SLD)</v>
          </cell>
          <cell r="I507" t="str">
            <v>N</v>
          </cell>
          <cell r="J507" t="str">
            <v>Guamanian</v>
          </cell>
          <cell r="K507" t="str">
            <v>CS - VISION CS</v>
          </cell>
          <cell r="L507" t="str">
            <v>Yes</v>
          </cell>
          <cell r="M507"/>
        </row>
        <row r="508">
          <cell r="D508">
            <v>4430683506</v>
          </cell>
          <cell r="E508" t="str">
            <v>05/06/2025</v>
          </cell>
          <cell r="F508" t="str">
            <v>M</v>
          </cell>
          <cell r="G508">
            <v>16</v>
          </cell>
          <cell r="H508" t="str">
            <v>Other Health Impairment (OHI)</v>
          </cell>
          <cell r="I508" t="str">
            <v>Y</v>
          </cell>
          <cell r="J508" t="str">
            <v>White</v>
          </cell>
          <cell r="K508" t="str">
            <v>SE - WE - EARLY START</v>
          </cell>
          <cell r="L508" t="str">
            <v>Yes</v>
          </cell>
          <cell r="M508"/>
        </row>
        <row r="509">
          <cell r="D509">
            <v>4695789565</v>
          </cell>
          <cell r="E509" t="str">
            <v>05/06/2025</v>
          </cell>
          <cell r="F509" t="str">
            <v>F</v>
          </cell>
          <cell r="G509">
            <v>16</v>
          </cell>
          <cell r="H509" t="str">
            <v>Other Health Impairment (OHI)</v>
          </cell>
          <cell r="I509" t="str">
            <v>Y</v>
          </cell>
          <cell r="J509" t="str">
            <v>White</v>
          </cell>
          <cell r="K509" t="str">
            <v>SE - WE - EARLY START</v>
          </cell>
          <cell r="L509" t="str">
            <v>Yes</v>
          </cell>
          <cell r="M509"/>
        </row>
        <row r="510">
          <cell r="D510">
            <v>2308944791</v>
          </cell>
          <cell r="E510" t="str">
            <v>02/02/2007</v>
          </cell>
          <cell r="F510" t="str">
            <v>F</v>
          </cell>
          <cell r="G510">
            <v>12</v>
          </cell>
          <cell r="H510" t="str">
            <v>Traumatic Brain Injury (TBI)</v>
          </cell>
          <cell r="I510" t="str">
            <v>Y</v>
          </cell>
          <cell r="J510" t="str">
            <v>White</v>
          </cell>
          <cell r="K510" t="str">
            <v>SE - DM - BARSTOW JH</v>
          </cell>
          <cell r="L510" t="str">
            <v>Yes</v>
          </cell>
          <cell r="M510"/>
        </row>
        <row r="511">
          <cell r="D511">
            <v>5537282545</v>
          </cell>
          <cell r="E511" t="str">
            <v>10/20/2007</v>
          </cell>
          <cell r="F511" t="str">
            <v>M</v>
          </cell>
          <cell r="G511">
            <v>12</v>
          </cell>
          <cell r="H511" t="str">
            <v>Other Health Impairment (OHI)</v>
          </cell>
          <cell r="I511" t="str">
            <v>Y</v>
          </cell>
          <cell r="J511" t="str">
            <v>White</v>
          </cell>
          <cell r="K511" t="str">
            <v>JCS - EAST VALLEY JUV COURT SCHOOL</v>
          </cell>
          <cell r="L511" t="str">
            <v>Yes</v>
          </cell>
          <cell r="M511"/>
        </row>
        <row r="512">
          <cell r="D512">
            <v>5077896603</v>
          </cell>
          <cell r="E512" t="str">
            <v>05/09/2011</v>
          </cell>
          <cell r="F512" t="str">
            <v>M</v>
          </cell>
          <cell r="G512">
            <v>9</v>
          </cell>
          <cell r="H512" t="str">
            <v>Multiple Disability (MD)</v>
          </cell>
          <cell r="I512" t="str">
            <v>Y</v>
          </cell>
          <cell r="J512" t="str">
            <v>White</v>
          </cell>
          <cell r="K512" t="str">
            <v>SE - WE - ALTA LOMA HS</v>
          </cell>
          <cell r="L512" t="str">
            <v>Yes</v>
          </cell>
          <cell r="M512"/>
        </row>
        <row r="513">
          <cell r="D513">
            <v>7411542131</v>
          </cell>
          <cell r="E513" t="str">
            <v>07/10/2008</v>
          </cell>
          <cell r="F513" t="str">
            <v>M</v>
          </cell>
          <cell r="G513">
            <v>12</v>
          </cell>
          <cell r="H513" t="str">
            <v>Autism (AUT)</v>
          </cell>
          <cell r="I513" t="str">
            <v>N</v>
          </cell>
          <cell r="J513" t="str">
            <v>White</v>
          </cell>
          <cell r="K513" t="str">
            <v>SE - DM - SERRANO</v>
          </cell>
          <cell r="L513" t="str">
            <v>Yes</v>
          </cell>
          <cell r="M513"/>
        </row>
        <row r="514">
          <cell r="D514">
            <v>5682693510</v>
          </cell>
          <cell r="E514" t="str">
            <v>02/12/2024</v>
          </cell>
          <cell r="F514" t="str">
            <v>M</v>
          </cell>
          <cell r="G514">
            <v>16</v>
          </cell>
          <cell r="H514" t="str">
            <v>Other Health Impairment (OHI)</v>
          </cell>
          <cell r="I514" t="str">
            <v>Y</v>
          </cell>
          <cell r="J514" t="str">
            <v>Black or African American</v>
          </cell>
          <cell r="K514" t="str">
            <v>SE - EV - EARLY START</v>
          </cell>
          <cell r="L514" t="str">
            <v>Yes</v>
          </cell>
          <cell r="M514"/>
        </row>
        <row r="515">
          <cell r="D515">
            <v>8515962966</v>
          </cell>
          <cell r="E515" t="str">
            <v>09/15/2008</v>
          </cell>
          <cell r="F515" t="str">
            <v>M</v>
          </cell>
          <cell r="G515">
            <v>12</v>
          </cell>
          <cell r="H515" t="str">
            <v>Other Health Impairment (OHI)</v>
          </cell>
          <cell r="I515" t="str">
            <v>Y</v>
          </cell>
          <cell r="J515" t="str">
            <v>White</v>
          </cell>
          <cell r="K515" t="str">
            <v>JCS - EAST VALLEY JUV COURT SCHOOL</v>
          </cell>
          <cell r="L515" t="str">
            <v>Yes</v>
          </cell>
          <cell r="M515"/>
        </row>
        <row r="516">
          <cell r="D516">
            <v>9191194648</v>
          </cell>
          <cell r="E516" t="str">
            <v>06/27/2025</v>
          </cell>
          <cell r="F516" t="str">
            <v>F</v>
          </cell>
          <cell r="G516">
            <v>16</v>
          </cell>
          <cell r="H516" t="str">
            <v>Hard of Hearing (HH)</v>
          </cell>
          <cell r="I516" t="str">
            <v>Y</v>
          </cell>
          <cell r="J516" t="str">
            <v>White</v>
          </cell>
          <cell r="K516" t="str">
            <v>SE - EV - EARLY START</v>
          </cell>
          <cell r="L516" t="str">
            <v>Yes</v>
          </cell>
          <cell r="M516"/>
        </row>
        <row r="517">
          <cell r="D517">
            <v>8255121750</v>
          </cell>
          <cell r="E517" t="str">
            <v>08/11/2008</v>
          </cell>
          <cell r="F517" t="str">
            <v>M</v>
          </cell>
          <cell r="G517">
            <v>12</v>
          </cell>
          <cell r="H517" t="str">
            <v>Emotional Disturbance (ED)</v>
          </cell>
          <cell r="I517" t="str">
            <v>N</v>
          </cell>
          <cell r="J517" t="str">
            <v>White</v>
          </cell>
          <cell r="K517" t="str">
            <v>JCS - EAST VALLEY JUV COURT SCHOOL</v>
          </cell>
          <cell r="L517" t="str">
            <v>Yes</v>
          </cell>
          <cell r="M517"/>
        </row>
        <row r="518">
          <cell r="D518">
            <v>5756382426</v>
          </cell>
          <cell r="E518" t="str">
            <v>06/15/2010</v>
          </cell>
          <cell r="F518" t="str">
            <v>M</v>
          </cell>
          <cell r="G518">
            <v>9</v>
          </cell>
          <cell r="H518" t="str">
            <v>Specific Learning Disability (SLD)</v>
          </cell>
          <cell r="I518" t="str">
            <v>N</v>
          </cell>
          <cell r="J518" t="str">
            <v>White</v>
          </cell>
          <cell r="K518" t="str">
            <v>SE - DM - NEEDLES SR</v>
          </cell>
          <cell r="L518" t="str">
            <v>Yes</v>
          </cell>
          <cell r="M518"/>
        </row>
        <row r="519">
          <cell r="D519">
            <v>3035869334</v>
          </cell>
          <cell r="E519" t="str">
            <v>02/19/2010</v>
          </cell>
          <cell r="F519" t="str">
            <v>M</v>
          </cell>
          <cell r="G519">
            <v>10</v>
          </cell>
          <cell r="H519" t="str">
            <v>Intellectual Disability (ID)</v>
          </cell>
          <cell r="I519" t="str">
            <v>N</v>
          </cell>
          <cell r="J519" t="str">
            <v>Asian Indian</v>
          </cell>
          <cell r="K519" t="str">
            <v>SE - DM - GRANITE HILL</v>
          </cell>
          <cell r="L519" t="str">
            <v>Yes</v>
          </cell>
          <cell r="M519"/>
        </row>
        <row r="520">
          <cell r="D520">
            <v>5755330675</v>
          </cell>
          <cell r="E520" t="str">
            <v>08/04/2011</v>
          </cell>
          <cell r="F520" t="str">
            <v>M</v>
          </cell>
          <cell r="G520">
            <v>9</v>
          </cell>
          <cell r="H520" t="str">
            <v>Autism (AUT)</v>
          </cell>
          <cell r="I520" t="str">
            <v>N</v>
          </cell>
          <cell r="J520" t="str">
            <v>White</v>
          </cell>
          <cell r="K520" t="str">
            <v>SE - HOME HOSPITAL</v>
          </cell>
          <cell r="L520" t="str">
            <v>Yes</v>
          </cell>
          <cell r="M520"/>
        </row>
        <row r="521">
          <cell r="D521">
            <v>1308362973</v>
          </cell>
          <cell r="E521" t="str">
            <v>11/23/2010</v>
          </cell>
          <cell r="F521" t="str">
            <v>F</v>
          </cell>
          <cell r="G521">
            <v>9</v>
          </cell>
          <cell r="H521" t="str">
            <v>Intellectual Disability (ID)</v>
          </cell>
          <cell r="I521" t="str">
            <v>Y</v>
          </cell>
          <cell r="J521" t="str">
            <v>White</v>
          </cell>
          <cell r="K521" t="str">
            <v>SE - DM - OAK HILLS HS</v>
          </cell>
          <cell r="L521" t="str">
            <v>Yes</v>
          </cell>
          <cell r="M521"/>
        </row>
        <row r="522">
          <cell r="D522">
            <v>1193313723</v>
          </cell>
          <cell r="E522" t="str">
            <v>03/25/2007</v>
          </cell>
          <cell r="F522" t="str">
            <v>M</v>
          </cell>
          <cell r="G522">
            <v>12</v>
          </cell>
          <cell r="H522" t="str">
            <v>Orthopedic Impairment (OI)</v>
          </cell>
          <cell r="I522" t="str">
            <v>Y</v>
          </cell>
          <cell r="J522" t="str">
            <v>White</v>
          </cell>
          <cell r="K522" t="str">
            <v>SE - DM - SULTANA</v>
          </cell>
          <cell r="L522" t="str">
            <v>Yes</v>
          </cell>
          <cell r="M522"/>
        </row>
        <row r="523">
          <cell r="D523">
            <v>5047785584</v>
          </cell>
          <cell r="E523" t="str">
            <v>09/07/2009</v>
          </cell>
          <cell r="F523" t="str">
            <v>M</v>
          </cell>
          <cell r="G523">
            <v>11</v>
          </cell>
          <cell r="H523" t="str">
            <v>Autism (AUT)</v>
          </cell>
          <cell r="I523" t="str">
            <v>Y</v>
          </cell>
          <cell r="J523" t="str">
            <v>White</v>
          </cell>
          <cell r="K523" t="str">
            <v>SE - DM - VICTOR VALLEY SR</v>
          </cell>
          <cell r="L523" t="str">
            <v>Yes</v>
          </cell>
          <cell r="M523"/>
        </row>
        <row r="524">
          <cell r="D524">
            <v>9846053010</v>
          </cell>
          <cell r="E524" t="str">
            <v>10/02/2025</v>
          </cell>
          <cell r="F524" t="str">
            <v>M</v>
          </cell>
          <cell r="G524">
            <v>16</v>
          </cell>
          <cell r="H524" t="str">
            <v>Other Health Impairment (OHI)</v>
          </cell>
          <cell r="I524" t="str">
            <v>Y</v>
          </cell>
          <cell r="J524" t="str">
            <v>White</v>
          </cell>
          <cell r="K524" t="str">
            <v>SE - EV - EARLY START</v>
          </cell>
          <cell r="L524" t="str">
            <v>Yes</v>
          </cell>
          <cell r="M524"/>
        </row>
        <row r="525">
          <cell r="D525">
            <v>2413152202</v>
          </cell>
          <cell r="E525" t="str">
            <v>08/29/2008</v>
          </cell>
          <cell r="F525" t="str">
            <v>M</v>
          </cell>
          <cell r="G525">
            <v>12</v>
          </cell>
          <cell r="H525" t="str">
            <v>Specific Learning Disability (SLD)</v>
          </cell>
          <cell r="I525" t="str">
            <v>N</v>
          </cell>
          <cell r="J525" t="str">
            <v>Black or African American</v>
          </cell>
          <cell r="K525" t="str">
            <v>CS - BARBARA PHELPS CS</v>
          </cell>
          <cell r="L525" t="str">
            <v>Yes</v>
          </cell>
          <cell r="M525"/>
        </row>
        <row r="526">
          <cell r="D526">
            <v>7905076593</v>
          </cell>
          <cell r="E526" t="str">
            <v>06/08/2007</v>
          </cell>
          <cell r="F526" t="str">
            <v>F</v>
          </cell>
          <cell r="G526">
            <v>12</v>
          </cell>
          <cell r="H526" t="str">
            <v>Autism (AUT)</v>
          </cell>
          <cell r="I526" t="str">
            <v>Y</v>
          </cell>
          <cell r="J526" t="str">
            <v>Declined to state/Unknown</v>
          </cell>
          <cell r="K526" t="str">
            <v>SE - DM - SERRANO</v>
          </cell>
          <cell r="L526" t="str">
            <v>Yes</v>
          </cell>
          <cell r="M526"/>
        </row>
        <row r="527">
          <cell r="D527">
            <v>1398280667</v>
          </cell>
          <cell r="E527" t="str">
            <v>09/26/2008</v>
          </cell>
          <cell r="F527" t="str">
            <v>M</v>
          </cell>
          <cell r="G527">
            <v>12</v>
          </cell>
          <cell r="H527" t="str">
            <v>Emotional Disturbance (ED)</v>
          </cell>
          <cell r="I527" t="str">
            <v>N</v>
          </cell>
          <cell r="J527" t="str">
            <v>Black or African American</v>
          </cell>
          <cell r="K527" t="str">
            <v>CS - BOB MURPHY CS</v>
          </cell>
          <cell r="L527" t="str">
            <v>Yes</v>
          </cell>
          <cell r="M527"/>
        </row>
        <row r="528">
          <cell r="D528">
            <v>6775153132</v>
          </cell>
          <cell r="E528" t="str">
            <v>12/06/2025</v>
          </cell>
          <cell r="F528" t="str">
            <v>F</v>
          </cell>
          <cell r="G528">
            <v>16</v>
          </cell>
          <cell r="H528" t="str">
            <v>Other Health Impairment (OHI)</v>
          </cell>
          <cell r="I528" t="str">
            <v>Y</v>
          </cell>
          <cell r="J528" t="str">
            <v>White</v>
          </cell>
          <cell r="K528" t="str">
            <v>SE - WE - EARLY START</v>
          </cell>
          <cell r="L528" t="str">
            <v>Yes</v>
          </cell>
          <cell r="M528"/>
        </row>
        <row r="529">
          <cell r="D529">
            <v>6052932270</v>
          </cell>
          <cell r="E529" t="str">
            <v>06/01/2011</v>
          </cell>
          <cell r="F529" t="str">
            <v>M</v>
          </cell>
          <cell r="G529">
            <v>9</v>
          </cell>
          <cell r="H529" t="str">
            <v>Specific Learning Disability (SLD)</v>
          </cell>
          <cell r="I529" t="str">
            <v>Y</v>
          </cell>
          <cell r="J529" t="str">
            <v>White</v>
          </cell>
          <cell r="K529" t="str">
            <v>CS - VISION CS</v>
          </cell>
          <cell r="L529" t="str">
            <v>Yes</v>
          </cell>
          <cell r="M529"/>
        </row>
        <row r="530">
          <cell r="D530">
            <v>7219368720</v>
          </cell>
          <cell r="E530" t="str">
            <v>04/22/2009</v>
          </cell>
          <cell r="F530" t="str">
            <v>M</v>
          </cell>
          <cell r="G530">
            <v>11</v>
          </cell>
          <cell r="H530" t="str">
            <v>Other Health Impairment (OHI)</v>
          </cell>
          <cell r="I530" t="str">
            <v>N</v>
          </cell>
          <cell r="J530" t="str">
            <v>Declined to state/Unknown</v>
          </cell>
          <cell r="K530" t="str">
            <v>JCS - EAST VALLEY JUV COURT SCHOOL</v>
          </cell>
          <cell r="L530" t="str">
            <v>Yes</v>
          </cell>
          <cell r="M530"/>
        </row>
        <row r="531">
          <cell r="D531">
            <v>5182193722</v>
          </cell>
          <cell r="E531" t="str">
            <v>04/21/2005</v>
          </cell>
          <cell r="F531" t="str">
            <v>M</v>
          </cell>
          <cell r="G531">
            <v>12</v>
          </cell>
          <cell r="H531" t="str">
            <v>Intellectual Disability (ID)</v>
          </cell>
          <cell r="I531" t="str">
            <v>Y</v>
          </cell>
          <cell r="J531" t="str">
            <v>American Indian or Alaskan Native</v>
          </cell>
          <cell r="K531" t="str">
            <v>SE - WE - CHINO HS</v>
          </cell>
          <cell r="L531" t="str">
            <v>Yes</v>
          </cell>
          <cell r="M531"/>
        </row>
        <row r="532">
          <cell r="D532">
            <v>3321145361</v>
          </cell>
          <cell r="E532" t="str">
            <v>01/18/2010</v>
          </cell>
          <cell r="F532" t="str">
            <v>M</v>
          </cell>
          <cell r="G532">
            <v>10</v>
          </cell>
          <cell r="H532" t="str">
            <v>Multiple Disability (MD)</v>
          </cell>
          <cell r="I532" t="str">
            <v>Y</v>
          </cell>
          <cell r="J532" t="str">
            <v>Vietnamese</v>
          </cell>
          <cell r="K532" t="str">
            <v>SE - DM - SERRANO</v>
          </cell>
          <cell r="L532" t="str">
            <v>Yes</v>
          </cell>
          <cell r="M532"/>
        </row>
        <row r="533">
          <cell r="D533">
            <v>1382294193</v>
          </cell>
          <cell r="E533" t="str">
            <v>03/07/2005</v>
          </cell>
          <cell r="F533" t="str">
            <v>M</v>
          </cell>
          <cell r="G533">
            <v>12</v>
          </cell>
          <cell r="H533" t="str">
            <v>Autism (AUT)</v>
          </cell>
          <cell r="I533" t="str">
            <v>Y</v>
          </cell>
          <cell r="J533" t="str">
            <v>White</v>
          </cell>
          <cell r="K533" t="str">
            <v>SE - DM - SERRANO</v>
          </cell>
          <cell r="L533" t="str">
            <v>Yes</v>
          </cell>
          <cell r="M533"/>
        </row>
        <row r="534">
          <cell r="D534">
            <v>2281974186</v>
          </cell>
          <cell r="E534" t="str">
            <v>01/03/2010</v>
          </cell>
          <cell r="F534" t="str">
            <v>F</v>
          </cell>
          <cell r="G534">
            <v>10</v>
          </cell>
          <cell r="H534" t="str">
            <v>Specific Learning Disability (SLD)</v>
          </cell>
          <cell r="I534" t="str">
            <v>N</v>
          </cell>
          <cell r="J534" t="str">
            <v>Black or African American</v>
          </cell>
          <cell r="K534" t="str">
            <v>CS - TRI CITY CS</v>
          </cell>
          <cell r="L534" t="str">
            <v>Yes</v>
          </cell>
          <cell r="M534"/>
        </row>
        <row r="535">
          <cell r="D535">
            <v>7501983423</v>
          </cell>
          <cell r="E535" t="str">
            <v>07/08/2025</v>
          </cell>
          <cell r="F535" t="str">
            <v>M</v>
          </cell>
          <cell r="G535">
            <v>16</v>
          </cell>
          <cell r="H535" t="str">
            <v>Hard of Hearing (HH)</v>
          </cell>
          <cell r="I535" t="str">
            <v>Y</v>
          </cell>
          <cell r="J535" t="str">
            <v>White</v>
          </cell>
          <cell r="K535" t="str">
            <v>SE - DM - EARLY START</v>
          </cell>
          <cell r="L535" t="str">
            <v>Yes</v>
          </cell>
          <cell r="M535"/>
        </row>
        <row r="536">
          <cell r="D536">
            <v>4620481525</v>
          </cell>
          <cell r="E536" t="str">
            <v>09/29/2010</v>
          </cell>
          <cell r="F536" t="str">
            <v>M</v>
          </cell>
          <cell r="G536">
            <v>9</v>
          </cell>
          <cell r="H536" t="str">
            <v>Autism (AUT)</v>
          </cell>
          <cell r="I536" t="str">
            <v>Y</v>
          </cell>
          <cell r="J536" t="str">
            <v>White</v>
          </cell>
          <cell r="K536" t="str">
            <v>SE - DM - COBALT IMS</v>
          </cell>
          <cell r="L536" t="str">
            <v>Yes</v>
          </cell>
          <cell r="M536"/>
        </row>
        <row r="537">
          <cell r="D537">
            <v>7448705831</v>
          </cell>
          <cell r="E537" t="str">
            <v>08/19/2023</v>
          </cell>
          <cell r="F537" t="str">
            <v>M</v>
          </cell>
          <cell r="G537">
            <v>16</v>
          </cell>
          <cell r="H537" t="str">
            <v>Hard of Hearing (HH)</v>
          </cell>
          <cell r="I537" t="str">
            <v>N</v>
          </cell>
          <cell r="J537" t="str">
            <v>Declined to state/Unknown</v>
          </cell>
          <cell r="K537" t="str">
            <v>SE - WE - EARLY START</v>
          </cell>
          <cell r="L537" t="str">
            <v>Yes</v>
          </cell>
          <cell r="M537"/>
        </row>
        <row r="538">
          <cell r="D538">
            <v>3448323742</v>
          </cell>
          <cell r="E538" t="str">
            <v>06/04/2007</v>
          </cell>
          <cell r="F538" t="str">
            <v>M</v>
          </cell>
          <cell r="G538">
            <v>12</v>
          </cell>
          <cell r="H538" t="str">
            <v>Autism (AUT)</v>
          </cell>
          <cell r="I538" t="str">
            <v>N</v>
          </cell>
          <cell r="J538" t="str">
            <v>Filipino</v>
          </cell>
          <cell r="K538" t="str">
            <v>SE - WE - UPLAND HS</v>
          </cell>
          <cell r="L538" t="str">
            <v>Yes</v>
          </cell>
          <cell r="M538"/>
        </row>
        <row r="539">
          <cell r="D539">
            <v>9417490705</v>
          </cell>
          <cell r="E539" t="str">
            <v>09/22/2005</v>
          </cell>
          <cell r="F539" t="str">
            <v>M</v>
          </cell>
          <cell r="G539">
            <v>12</v>
          </cell>
          <cell r="H539" t="str">
            <v>Autism (AUT)</v>
          </cell>
          <cell r="I539" t="str">
            <v>N</v>
          </cell>
          <cell r="J539" t="str">
            <v>White</v>
          </cell>
          <cell r="K539" t="str">
            <v>SE - WE - COLONY HS</v>
          </cell>
          <cell r="L539" t="str">
            <v>Yes</v>
          </cell>
          <cell r="M539"/>
        </row>
        <row r="540">
          <cell r="D540">
            <v>8370076465</v>
          </cell>
          <cell r="E540" t="str">
            <v>01/02/2011</v>
          </cell>
          <cell r="F540" t="str">
            <v>F</v>
          </cell>
          <cell r="G540">
            <v>9</v>
          </cell>
          <cell r="H540" t="str">
            <v>Intellectual Disability (ID)</v>
          </cell>
          <cell r="I540" t="str">
            <v>Y</v>
          </cell>
          <cell r="J540" t="str">
            <v>American Indian or Alaskan Native</v>
          </cell>
          <cell r="K540" t="str">
            <v>SE - WE - COLONY HS</v>
          </cell>
          <cell r="L540" t="str">
            <v>Yes</v>
          </cell>
          <cell r="M540"/>
        </row>
        <row r="541">
          <cell r="D541">
            <v>2547484255</v>
          </cell>
          <cell r="E541" t="str">
            <v>06/22/2010</v>
          </cell>
          <cell r="F541" t="str">
            <v>M</v>
          </cell>
          <cell r="G541">
            <v>10</v>
          </cell>
          <cell r="H541" t="str">
            <v>Intellectual Disability (ID)</v>
          </cell>
          <cell r="I541" t="str">
            <v>Y</v>
          </cell>
          <cell r="J541" t="str">
            <v>White</v>
          </cell>
          <cell r="K541" t="str">
            <v>SE - WE - COLONY HS</v>
          </cell>
          <cell r="L541" t="str">
            <v>Yes</v>
          </cell>
          <cell r="M541"/>
        </row>
        <row r="542">
          <cell r="D542">
            <v>4244662978</v>
          </cell>
          <cell r="E542" t="str">
            <v>07/29/2009</v>
          </cell>
          <cell r="F542" t="str">
            <v>M</v>
          </cell>
          <cell r="G542">
            <v>11</v>
          </cell>
          <cell r="H542" t="str">
            <v>Autism (AUT)</v>
          </cell>
          <cell r="I542" t="str">
            <v>N</v>
          </cell>
          <cell r="J542" t="str">
            <v>Declined to state/Unknown</v>
          </cell>
          <cell r="K542" t="str">
            <v>SE - DM - VICTOR VALLEY SR</v>
          </cell>
          <cell r="L542" t="str">
            <v>Yes</v>
          </cell>
          <cell r="M542"/>
        </row>
        <row r="543">
          <cell r="D543">
            <v>9511070477</v>
          </cell>
          <cell r="E543" t="str">
            <v>11/09/2009</v>
          </cell>
          <cell r="F543" t="str">
            <v>F</v>
          </cell>
          <cell r="G543">
            <v>10</v>
          </cell>
          <cell r="H543" t="str">
            <v>Intellectual Disability (ID)</v>
          </cell>
          <cell r="I543" t="str">
            <v>N</v>
          </cell>
          <cell r="J543" t="str">
            <v>Declined to state/Unknown</v>
          </cell>
          <cell r="K543" t="str">
            <v>SE - DM - SERRANO</v>
          </cell>
          <cell r="L543" t="str">
            <v>Yes</v>
          </cell>
          <cell r="M543"/>
        </row>
        <row r="544">
          <cell r="D544">
            <v>9743321160</v>
          </cell>
          <cell r="E544" t="str">
            <v>06/10/2008</v>
          </cell>
          <cell r="F544" t="str">
            <v>F</v>
          </cell>
          <cell r="G544">
            <v>12</v>
          </cell>
          <cell r="H544" t="str">
            <v>Multiple Disability (MD)</v>
          </cell>
          <cell r="I544" t="str">
            <v>Y</v>
          </cell>
          <cell r="J544" t="str">
            <v>American Indian or Alaskan Native</v>
          </cell>
          <cell r="K544" t="str">
            <v>SE - EV - COLTON HS 2</v>
          </cell>
          <cell r="L544" t="str">
            <v>Yes</v>
          </cell>
          <cell r="M544"/>
        </row>
        <row r="545">
          <cell r="D545">
            <v>6780028241</v>
          </cell>
          <cell r="E545" t="str">
            <v>08/24/2010</v>
          </cell>
          <cell r="F545" t="str">
            <v>M</v>
          </cell>
          <cell r="G545">
            <v>10</v>
          </cell>
          <cell r="H545" t="str">
            <v>Multiple Disability (MD)</v>
          </cell>
          <cell r="I545" t="str">
            <v>Y</v>
          </cell>
          <cell r="J545" t="str">
            <v>American Indian or Alaskan Native</v>
          </cell>
          <cell r="K545" t="str">
            <v>SE - EV - COLTON HS 2</v>
          </cell>
          <cell r="L545" t="str">
            <v>Yes</v>
          </cell>
          <cell r="M545"/>
        </row>
        <row r="546">
          <cell r="D546">
            <v>3771366243</v>
          </cell>
          <cell r="E546" t="str">
            <v>02/03/2009</v>
          </cell>
          <cell r="F546" t="str">
            <v>M</v>
          </cell>
          <cell r="G546">
            <v>11</v>
          </cell>
          <cell r="H546" t="str">
            <v>Other Health Impairment (OHI)</v>
          </cell>
          <cell r="I546" t="str">
            <v>Y</v>
          </cell>
          <cell r="J546" t="str">
            <v>White</v>
          </cell>
          <cell r="K546" t="str">
            <v>CS - CHAFFEY WEST CS</v>
          </cell>
          <cell r="L546" t="str">
            <v>Yes</v>
          </cell>
          <cell r="M546"/>
        </row>
        <row r="547">
          <cell r="D547">
            <v>8100906513</v>
          </cell>
          <cell r="E547" t="str">
            <v>04/25/2023</v>
          </cell>
          <cell r="F547" t="str">
            <v>M</v>
          </cell>
          <cell r="G547">
            <v>16</v>
          </cell>
          <cell r="H547" t="str">
            <v>Orthopedic Impairment (OI)</v>
          </cell>
          <cell r="I547" t="str">
            <v>Y</v>
          </cell>
          <cell r="J547" t="str">
            <v>Declined to state/Unknown</v>
          </cell>
          <cell r="K547" t="str">
            <v>SE - WE - EARLY START</v>
          </cell>
          <cell r="L547" t="str">
            <v>Yes</v>
          </cell>
          <cell r="M547"/>
        </row>
        <row r="548">
          <cell r="D548">
            <v>9191942741</v>
          </cell>
          <cell r="E548" t="str">
            <v>06/19/2004</v>
          </cell>
          <cell r="F548" t="str">
            <v>M</v>
          </cell>
          <cell r="G548">
            <v>12</v>
          </cell>
          <cell r="H548" t="str">
            <v>Intellectual Disability (ID)</v>
          </cell>
          <cell r="I548" t="str">
            <v>Y</v>
          </cell>
          <cell r="J548" t="str">
            <v>Declined to state/Unknown</v>
          </cell>
          <cell r="K548" t="str">
            <v>SE - DM - HESPERIA STAR</v>
          </cell>
          <cell r="L548" t="str">
            <v>Yes</v>
          </cell>
          <cell r="M548"/>
        </row>
        <row r="549">
          <cell r="D549">
            <v>7202492526</v>
          </cell>
          <cell r="E549" t="str">
            <v>03/17/2011</v>
          </cell>
          <cell r="F549" t="str">
            <v>M</v>
          </cell>
          <cell r="G549">
            <v>9</v>
          </cell>
          <cell r="H549" t="str">
            <v>Intellectual Disability (ID)</v>
          </cell>
          <cell r="I549" t="str">
            <v>Y</v>
          </cell>
          <cell r="J549" t="str">
            <v>Declined to state/Unknown</v>
          </cell>
          <cell r="K549" t="str">
            <v>SE - WE - ALTA LOMA HS</v>
          </cell>
          <cell r="L549" t="str">
            <v>Yes</v>
          </cell>
          <cell r="M549"/>
        </row>
        <row r="550">
          <cell r="D550">
            <v>5314989510</v>
          </cell>
          <cell r="E550" t="str">
            <v>07/09/2007</v>
          </cell>
          <cell r="F550" t="str">
            <v>F</v>
          </cell>
          <cell r="G550">
            <v>12</v>
          </cell>
          <cell r="H550" t="str">
            <v>Autism (AUT)</v>
          </cell>
          <cell r="I550" t="str">
            <v>Y</v>
          </cell>
          <cell r="J550" t="str">
            <v>White</v>
          </cell>
          <cell r="K550" t="str">
            <v>SE - DM - SULTANA</v>
          </cell>
          <cell r="L550" t="str">
            <v>Yes</v>
          </cell>
          <cell r="M550"/>
        </row>
        <row r="551">
          <cell r="D551">
            <v>7082903417</v>
          </cell>
          <cell r="E551" t="str">
            <v>08/19/2006</v>
          </cell>
          <cell r="F551" t="str">
            <v>M</v>
          </cell>
          <cell r="G551">
            <v>12</v>
          </cell>
          <cell r="H551" t="str">
            <v>Multiple Disability (MD)</v>
          </cell>
          <cell r="I551" t="str">
            <v>Y</v>
          </cell>
          <cell r="J551" t="str">
            <v>Declined to state/Unknown</v>
          </cell>
          <cell r="K551" t="str">
            <v>SE - DM - GRANITE HILL</v>
          </cell>
          <cell r="L551" t="str">
            <v>Yes</v>
          </cell>
          <cell r="M551"/>
        </row>
        <row r="552">
          <cell r="D552">
            <v>6751572906</v>
          </cell>
          <cell r="E552" t="str">
            <v>09/15/2009</v>
          </cell>
          <cell r="F552" t="str">
            <v>M</v>
          </cell>
          <cell r="G552">
            <v>10</v>
          </cell>
          <cell r="H552" t="str">
            <v>Intellectual Disability (ID)</v>
          </cell>
          <cell r="I552" t="str">
            <v>N</v>
          </cell>
          <cell r="J552" t="str">
            <v>White</v>
          </cell>
          <cell r="K552" t="str">
            <v>SE - DM - SERRANO</v>
          </cell>
          <cell r="L552" t="str">
            <v>Yes</v>
          </cell>
          <cell r="M552"/>
        </row>
        <row r="553">
          <cell r="D553">
            <v>3186320747</v>
          </cell>
          <cell r="E553" t="str">
            <v>10/03/2005</v>
          </cell>
          <cell r="F553" t="str">
            <v>F</v>
          </cell>
          <cell r="G553">
            <v>12</v>
          </cell>
          <cell r="H553" t="str">
            <v>Multiple Disability (MD)</v>
          </cell>
          <cell r="I553" t="str">
            <v>N</v>
          </cell>
          <cell r="J553" t="str">
            <v>Black or African American</v>
          </cell>
          <cell r="K553" t="str">
            <v>SE - DM - SULTANA</v>
          </cell>
          <cell r="L553" t="str">
            <v>Yes</v>
          </cell>
          <cell r="M553"/>
        </row>
        <row r="554">
          <cell r="D554">
            <v>4345397706</v>
          </cell>
          <cell r="E554" t="str">
            <v>08/28/2007</v>
          </cell>
          <cell r="F554" t="str">
            <v>M</v>
          </cell>
          <cell r="G554">
            <v>12</v>
          </cell>
          <cell r="H554" t="str">
            <v>Multiple Disability (MD)</v>
          </cell>
          <cell r="I554" t="str">
            <v>Y</v>
          </cell>
          <cell r="J554" t="str">
            <v>American Indian or Alaskan Native</v>
          </cell>
          <cell r="K554" t="str">
            <v>SE - WE - COLONY HS</v>
          </cell>
          <cell r="L554" t="str">
            <v>Yes</v>
          </cell>
          <cell r="M554"/>
        </row>
        <row r="555">
          <cell r="D555">
            <v>9743058966</v>
          </cell>
          <cell r="E555" t="str">
            <v>07/16/2009</v>
          </cell>
          <cell r="F555" t="str">
            <v>F</v>
          </cell>
          <cell r="G555">
            <v>11</v>
          </cell>
          <cell r="H555" t="str">
            <v>Other Health Impairment (OHI)</v>
          </cell>
          <cell r="I555" t="str">
            <v>Y</v>
          </cell>
          <cell r="J555" t="str">
            <v>Declined to state/Unknown</v>
          </cell>
          <cell r="K555" t="str">
            <v>CS - BARBARA PHELPS CS</v>
          </cell>
          <cell r="L555" t="str">
            <v>Yes</v>
          </cell>
          <cell r="M555"/>
        </row>
        <row r="556">
          <cell r="D556">
            <v>8788442051</v>
          </cell>
          <cell r="E556" t="str">
            <v>10/03/2004</v>
          </cell>
          <cell r="F556" t="str">
            <v>F</v>
          </cell>
          <cell r="G556">
            <v>12</v>
          </cell>
          <cell r="H556" t="str">
            <v>Deafness (DEAF)/Hearing Impairment (HI)</v>
          </cell>
          <cell r="I556" t="str">
            <v>Y</v>
          </cell>
          <cell r="J556" t="str">
            <v>White</v>
          </cell>
          <cell r="K556" t="str">
            <v>SE - DM - HESPERIA SR</v>
          </cell>
          <cell r="L556" t="str">
            <v>Yes</v>
          </cell>
          <cell r="M556"/>
        </row>
        <row r="557">
          <cell r="D557">
            <v>8020970965</v>
          </cell>
          <cell r="E557" t="str">
            <v>07/15/2009</v>
          </cell>
          <cell r="F557" t="str">
            <v>M</v>
          </cell>
          <cell r="G557">
            <v>10</v>
          </cell>
          <cell r="H557" t="str">
            <v>Specific Learning Disability (SLD)</v>
          </cell>
          <cell r="I557" t="str">
            <v>Y</v>
          </cell>
          <cell r="J557" t="str">
            <v>American Indian or Alaskan Native</v>
          </cell>
          <cell r="K557" t="str">
            <v>JCS - EAST VALLEY JUV COURT SCHOOL</v>
          </cell>
          <cell r="L557" t="str">
            <v>Yes</v>
          </cell>
          <cell r="M557"/>
        </row>
        <row r="558">
          <cell r="D558">
            <v>1716086485</v>
          </cell>
          <cell r="E558" t="str">
            <v>08/14/2009</v>
          </cell>
          <cell r="F558" t="str">
            <v>M</v>
          </cell>
          <cell r="G558">
            <v>10</v>
          </cell>
          <cell r="H558" t="str">
            <v>Autism (AUT)</v>
          </cell>
          <cell r="I558" t="str">
            <v>N</v>
          </cell>
          <cell r="J558" t="str">
            <v>White</v>
          </cell>
          <cell r="K558" t="str">
            <v>SE - DM - VISION ALT LEARNING ACADEMY</v>
          </cell>
          <cell r="L558" t="str">
            <v>Yes</v>
          </cell>
          <cell r="M558"/>
        </row>
        <row r="559">
          <cell r="D559">
            <v>3034912307</v>
          </cell>
          <cell r="E559" t="str">
            <v>05/31/2008</v>
          </cell>
          <cell r="F559" t="str">
            <v>M</v>
          </cell>
          <cell r="G559">
            <v>12</v>
          </cell>
          <cell r="H559" t="str">
            <v>Intellectual Disability (ID)</v>
          </cell>
          <cell r="I559" t="str">
            <v>Y</v>
          </cell>
          <cell r="J559" t="str">
            <v>White</v>
          </cell>
          <cell r="K559" t="str">
            <v>SE - DM - VICTOR VALLEY SR</v>
          </cell>
          <cell r="L559" t="str">
            <v>Yes</v>
          </cell>
          <cell r="M559"/>
        </row>
        <row r="560">
          <cell r="D560">
            <v>9578066477</v>
          </cell>
          <cell r="E560" t="str">
            <v>04/16/2009</v>
          </cell>
          <cell r="F560" t="str">
            <v>F</v>
          </cell>
          <cell r="G560">
            <v>11</v>
          </cell>
          <cell r="H560" t="str">
            <v>Specific Learning Disability (SLD)</v>
          </cell>
          <cell r="I560" t="str">
            <v>Y</v>
          </cell>
          <cell r="J560" t="str">
            <v>White</v>
          </cell>
          <cell r="K560" t="str">
            <v>CS - BARBARA PHELPS CS</v>
          </cell>
          <cell r="L560" t="str">
            <v>Yes</v>
          </cell>
          <cell r="M560"/>
        </row>
        <row r="561">
          <cell r="D561">
            <v>6415145403</v>
          </cell>
          <cell r="E561" t="str">
            <v>04/03/2009</v>
          </cell>
          <cell r="F561" t="str">
            <v>F</v>
          </cell>
          <cell r="G561">
            <v>11</v>
          </cell>
          <cell r="H561" t="str">
            <v>Intellectual Disability (ID)</v>
          </cell>
          <cell r="I561" t="str">
            <v>Y</v>
          </cell>
          <cell r="J561" t="str">
            <v>White</v>
          </cell>
          <cell r="K561" t="str">
            <v>SE - DM - SERRANO</v>
          </cell>
          <cell r="L561" t="str">
            <v>Yes</v>
          </cell>
          <cell r="M561"/>
        </row>
        <row r="562">
          <cell r="D562">
            <v>2760298784</v>
          </cell>
          <cell r="E562" t="str">
            <v>05/05/2006</v>
          </cell>
          <cell r="F562" t="str">
            <v>F</v>
          </cell>
          <cell r="G562">
            <v>12</v>
          </cell>
          <cell r="H562" t="str">
            <v>Multiple Disability (MD)</v>
          </cell>
          <cell r="I562" t="str">
            <v>Y</v>
          </cell>
          <cell r="J562" t="str">
            <v>White</v>
          </cell>
          <cell r="K562" t="str">
            <v>SE - DM - COBALT IMS</v>
          </cell>
          <cell r="L562" t="str">
            <v>Yes</v>
          </cell>
          <cell r="M562"/>
        </row>
        <row r="563">
          <cell r="D563">
            <v>3665840466</v>
          </cell>
          <cell r="E563" t="str">
            <v>06/30/2011</v>
          </cell>
          <cell r="F563" t="str">
            <v>M</v>
          </cell>
          <cell r="G563">
            <v>9</v>
          </cell>
          <cell r="H563" t="str">
            <v>Autism (AUT)</v>
          </cell>
          <cell r="I563" t="str">
            <v>Y</v>
          </cell>
          <cell r="J563" t="str">
            <v>White</v>
          </cell>
          <cell r="K563" t="str">
            <v>SE - DM - VICTOR VALLEY SR</v>
          </cell>
          <cell r="L563" t="str">
            <v>Yes</v>
          </cell>
          <cell r="M563"/>
        </row>
        <row r="564">
          <cell r="D564">
            <v>8189148418</v>
          </cell>
          <cell r="E564" t="str">
            <v>02/17/2006</v>
          </cell>
          <cell r="F564" t="str">
            <v>F</v>
          </cell>
          <cell r="G564">
            <v>12</v>
          </cell>
          <cell r="H564" t="str">
            <v>Multiple Disability (MD)</v>
          </cell>
          <cell r="I564" t="str">
            <v>Y</v>
          </cell>
          <cell r="J564" t="str">
            <v>White</v>
          </cell>
          <cell r="K564" t="str">
            <v>SE - DM - COBALT IMS</v>
          </cell>
          <cell r="L564" t="str">
            <v>Yes</v>
          </cell>
          <cell r="M564"/>
        </row>
        <row r="565">
          <cell r="D565">
            <v>4122593921</v>
          </cell>
          <cell r="E565" t="str">
            <v>02/08/2008</v>
          </cell>
          <cell r="F565" t="str">
            <v>F</v>
          </cell>
          <cell r="G565">
            <v>12</v>
          </cell>
          <cell r="H565" t="str">
            <v>Autism (AUT)</v>
          </cell>
          <cell r="I565" t="str">
            <v>Y</v>
          </cell>
          <cell r="J565" t="str">
            <v>Declined to state/Unknown</v>
          </cell>
          <cell r="K565" t="str">
            <v>SE - WE - ALTA LOMA HS</v>
          </cell>
          <cell r="L565" t="str">
            <v>Yes</v>
          </cell>
          <cell r="M565"/>
        </row>
        <row r="566">
          <cell r="D566">
            <v>5803811291</v>
          </cell>
          <cell r="E566" t="str">
            <v>06/07/2023</v>
          </cell>
          <cell r="F566" t="str">
            <v>M</v>
          </cell>
          <cell r="G566">
            <v>16</v>
          </cell>
          <cell r="H566" t="str">
            <v>Speech or Language Impairment (SLI)</v>
          </cell>
          <cell r="I566" t="str">
            <v>Y</v>
          </cell>
          <cell r="J566" t="str">
            <v>Declined to state/Unknown</v>
          </cell>
          <cell r="K566" t="str">
            <v>SE - EV - EARLY START</v>
          </cell>
          <cell r="L566" t="str">
            <v>Yes</v>
          </cell>
          <cell r="M566"/>
        </row>
        <row r="567">
          <cell r="D567">
            <v>6067637785</v>
          </cell>
          <cell r="E567" t="str">
            <v>11/29/2007</v>
          </cell>
          <cell r="F567" t="str">
            <v>F</v>
          </cell>
          <cell r="G567">
            <v>12</v>
          </cell>
          <cell r="H567" t="str">
            <v>Specific Learning Disability (SLD)</v>
          </cell>
          <cell r="I567" t="str">
            <v>Y</v>
          </cell>
          <cell r="J567" t="str">
            <v>American Indian or Alaskan Native</v>
          </cell>
          <cell r="K567" t="str">
            <v>CS - TRI CITY CS</v>
          </cell>
          <cell r="L567" t="str">
            <v>Yes</v>
          </cell>
          <cell r="M567"/>
        </row>
        <row r="568">
          <cell r="D568">
            <v>8916814001</v>
          </cell>
          <cell r="E568" t="str">
            <v>08/03/2010</v>
          </cell>
          <cell r="F568" t="str">
            <v>M</v>
          </cell>
          <cell r="G568">
            <v>10</v>
          </cell>
          <cell r="H568" t="str">
            <v>Autism (AUT)</v>
          </cell>
          <cell r="I568" t="str">
            <v>Y</v>
          </cell>
          <cell r="J568" t="str">
            <v>White</v>
          </cell>
          <cell r="K568" t="str">
            <v>SE - DM - SERRANO</v>
          </cell>
          <cell r="L568" t="str">
            <v>Yes</v>
          </cell>
          <cell r="M568"/>
        </row>
        <row r="569">
          <cell r="D569">
            <v>9195229001</v>
          </cell>
          <cell r="E569" t="str">
            <v>08/29/2005</v>
          </cell>
          <cell r="F569" t="str">
            <v>F</v>
          </cell>
          <cell r="G569">
            <v>12</v>
          </cell>
          <cell r="H569" t="str">
            <v>Multiple Disability (MD)</v>
          </cell>
          <cell r="I569" t="str">
            <v>Y</v>
          </cell>
          <cell r="J569" t="str">
            <v>White</v>
          </cell>
          <cell r="K569" t="str">
            <v>SE - DM - VICTOR VALLEY SR</v>
          </cell>
          <cell r="L569" t="str">
            <v>Yes</v>
          </cell>
          <cell r="M569"/>
        </row>
        <row r="570">
          <cell r="D570">
            <v>1689795911</v>
          </cell>
          <cell r="E570" t="str">
            <v>09/09/2008</v>
          </cell>
          <cell r="F570" t="str">
            <v>M</v>
          </cell>
          <cell r="G570">
            <v>12</v>
          </cell>
          <cell r="H570" t="str">
            <v>Intellectual Disability (ID)</v>
          </cell>
          <cell r="I570" t="str">
            <v>Y</v>
          </cell>
          <cell r="J570" t="str">
            <v>Declined to state/Unknown</v>
          </cell>
          <cell r="K570" t="str">
            <v>SE - WE - CHINO HS</v>
          </cell>
          <cell r="L570" t="str">
            <v>Yes</v>
          </cell>
          <cell r="M570"/>
        </row>
        <row r="571">
          <cell r="D571">
            <v>9008196377</v>
          </cell>
          <cell r="E571" t="str">
            <v>08/21/2008</v>
          </cell>
          <cell r="F571" t="str">
            <v>F</v>
          </cell>
          <cell r="G571">
            <v>12</v>
          </cell>
          <cell r="H571" t="str">
            <v>Autism (AUT)</v>
          </cell>
          <cell r="I571" t="str">
            <v>N</v>
          </cell>
          <cell r="J571" t="str">
            <v>Black or African American</v>
          </cell>
          <cell r="K571" t="str">
            <v>SE - DM - COBALT IMS</v>
          </cell>
          <cell r="L571" t="str">
            <v>Yes</v>
          </cell>
          <cell r="M571"/>
        </row>
        <row r="572">
          <cell r="D572">
            <v>4294811406</v>
          </cell>
          <cell r="E572" t="str">
            <v>11/02/2006</v>
          </cell>
          <cell r="F572" t="str">
            <v>F</v>
          </cell>
          <cell r="G572">
            <v>12</v>
          </cell>
          <cell r="H572" t="str">
            <v>Multiple Disability (MD)</v>
          </cell>
          <cell r="I572" t="str">
            <v>Y</v>
          </cell>
          <cell r="J572" t="str">
            <v>Declined to state/Unknown</v>
          </cell>
          <cell r="K572" t="str">
            <v>SE - WE - LOS OSOS HS</v>
          </cell>
          <cell r="L572" t="str">
            <v>Yes</v>
          </cell>
          <cell r="M572"/>
        </row>
        <row r="573">
          <cell r="D573">
            <v>8252670431</v>
          </cell>
          <cell r="E573" t="str">
            <v>09/05/2023</v>
          </cell>
          <cell r="F573" t="str">
            <v>M</v>
          </cell>
          <cell r="G573">
            <v>16</v>
          </cell>
          <cell r="H573" t="str">
            <v>Intellectual Disability (ID)</v>
          </cell>
          <cell r="I573" t="str">
            <v>Y</v>
          </cell>
          <cell r="J573" t="str">
            <v>White</v>
          </cell>
          <cell r="K573" t="str">
            <v>SE - EV - EARLY START</v>
          </cell>
          <cell r="L573" t="str">
            <v>Yes</v>
          </cell>
          <cell r="M573"/>
        </row>
        <row r="574">
          <cell r="D574">
            <v>1793964971</v>
          </cell>
          <cell r="E574" t="str">
            <v>10/08/2023</v>
          </cell>
          <cell r="F574" t="str">
            <v>F</v>
          </cell>
          <cell r="G574">
            <v>16</v>
          </cell>
          <cell r="H574" t="str">
            <v>Hard of Hearing (HH)</v>
          </cell>
          <cell r="I574" t="str">
            <v>Y</v>
          </cell>
          <cell r="J574" t="str">
            <v>White</v>
          </cell>
          <cell r="K574" t="str">
            <v>SE - DM - EARLY START</v>
          </cell>
          <cell r="L574" t="str">
            <v>Yes</v>
          </cell>
          <cell r="M574"/>
        </row>
        <row r="575">
          <cell r="D575">
            <v>9067418223</v>
          </cell>
          <cell r="E575" t="str">
            <v>05/08/2007</v>
          </cell>
          <cell r="F575" t="str">
            <v>M</v>
          </cell>
          <cell r="G575">
            <v>12</v>
          </cell>
          <cell r="H575" t="str">
            <v>Intellectual Disability (ID)</v>
          </cell>
          <cell r="I575" t="str">
            <v>N</v>
          </cell>
          <cell r="J575" t="str">
            <v>American Indian or Alaskan Native</v>
          </cell>
          <cell r="K575" t="str">
            <v>SE - DM - SULTANA</v>
          </cell>
          <cell r="L575" t="str">
            <v>Yes</v>
          </cell>
          <cell r="M575"/>
        </row>
        <row r="576">
          <cell r="D576">
            <v>1375514640</v>
          </cell>
          <cell r="E576" t="str">
            <v>03/15/2010</v>
          </cell>
          <cell r="F576" t="str">
            <v>M</v>
          </cell>
          <cell r="G576">
            <v>10</v>
          </cell>
          <cell r="H576" t="str">
            <v>Intellectual Disability (ID)</v>
          </cell>
          <cell r="I576" t="str">
            <v>N</v>
          </cell>
          <cell r="J576" t="str">
            <v>Black or African American</v>
          </cell>
          <cell r="K576" t="str">
            <v>SE - DM - OAK HILLS HS</v>
          </cell>
          <cell r="L576" t="str">
            <v>Yes</v>
          </cell>
          <cell r="M576"/>
        </row>
        <row r="577">
          <cell r="D577">
            <v>4209932250</v>
          </cell>
          <cell r="E577" t="str">
            <v>03/18/2010</v>
          </cell>
          <cell r="F577" t="str">
            <v>F</v>
          </cell>
          <cell r="G577">
            <v>10</v>
          </cell>
          <cell r="H577" t="str">
            <v>Emotional Disturbance (ED)</v>
          </cell>
          <cell r="I577" t="str">
            <v>N</v>
          </cell>
          <cell r="J577" t="str">
            <v>White</v>
          </cell>
          <cell r="K577" t="str">
            <v>SE - WE - GIBSON HS</v>
          </cell>
          <cell r="L577" t="str">
            <v>Yes</v>
          </cell>
          <cell r="M577"/>
        </row>
        <row r="578">
          <cell r="D578">
            <v>7180951735</v>
          </cell>
          <cell r="E578" t="str">
            <v>11/07/2023</v>
          </cell>
          <cell r="F578" t="str">
            <v>F</v>
          </cell>
          <cell r="G578">
            <v>16</v>
          </cell>
          <cell r="H578" t="str">
            <v>Orthopedic Impairment (OI)</v>
          </cell>
          <cell r="I578" t="str">
            <v>Y</v>
          </cell>
          <cell r="J578" t="str">
            <v>White</v>
          </cell>
          <cell r="K578" t="str">
            <v>SE - DM - EARLY START</v>
          </cell>
          <cell r="L578" t="str">
            <v>Yes</v>
          </cell>
          <cell r="M578"/>
        </row>
        <row r="579">
          <cell r="D579">
            <v>4213098944</v>
          </cell>
          <cell r="E579" t="str">
            <v>11/07/2023</v>
          </cell>
          <cell r="F579" t="str">
            <v>F</v>
          </cell>
          <cell r="G579">
            <v>16</v>
          </cell>
          <cell r="H579" t="str">
            <v>Hard of Hearing (HH)</v>
          </cell>
          <cell r="I579" t="str">
            <v>Y</v>
          </cell>
          <cell r="J579" t="str">
            <v>White</v>
          </cell>
          <cell r="K579" t="str">
            <v>SE - DM - EARLY START</v>
          </cell>
          <cell r="L579" t="str">
            <v>Yes</v>
          </cell>
          <cell r="M579"/>
        </row>
        <row r="580">
          <cell r="D580">
            <v>1171078593</v>
          </cell>
          <cell r="E580" t="str">
            <v>07/07/2004</v>
          </cell>
          <cell r="F580" t="str">
            <v>M</v>
          </cell>
          <cell r="G580">
            <v>12</v>
          </cell>
          <cell r="H580" t="str">
            <v>Intellectual Disability (ID)</v>
          </cell>
          <cell r="I580" t="str">
            <v>Y</v>
          </cell>
          <cell r="J580" t="str">
            <v>Declined to state/Unknown</v>
          </cell>
          <cell r="K580" t="str">
            <v>SE - DM - OAK HILLS HS</v>
          </cell>
          <cell r="L580" t="str">
            <v>Yes</v>
          </cell>
          <cell r="M580"/>
        </row>
        <row r="581">
          <cell r="D581">
            <v>4830214972</v>
          </cell>
          <cell r="E581" t="str">
            <v>02/08/2025</v>
          </cell>
          <cell r="F581" t="str">
            <v>M</v>
          </cell>
          <cell r="G581">
            <v>16</v>
          </cell>
          <cell r="H581" t="str">
            <v>Hard of Hearing (HH)</v>
          </cell>
          <cell r="I581" t="str">
            <v>Y</v>
          </cell>
          <cell r="J581" t="str">
            <v>Declined to state/Unknown</v>
          </cell>
          <cell r="K581" t="str">
            <v>SE - EV - EARLY START</v>
          </cell>
          <cell r="L581" t="str">
            <v>Yes</v>
          </cell>
          <cell r="M581"/>
        </row>
        <row r="582">
          <cell r="D582">
            <v>9186139091</v>
          </cell>
          <cell r="E582" t="str">
            <v>06/27/2004</v>
          </cell>
          <cell r="F582" t="str">
            <v>M</v>
          </cell>
          <cell r="G582">
            <v>12</v>
          </cell>
          <cell r="H582" t="str">
            <v>Autism (AUT)</v>
          </cell>
          <cell r="I582" t="str">
            <v>Y</v>
          </cell>
          <cell r="J582" t="str">
            <v>American Indian or Alaskan Native</v>
          </cell>
          <cell r="K582" t="str">
            <v>SE - EV - COLTON HS 2</v>
          </cell>
          <cell r="L582" t="str">
            <v>Yes</v>
          </cell>
          <cell r="M582"/>
        </row>
        <row r="583">
          <cell r="D583">
            <v>5696109022</v>
          </cell>
          <cell r="E583" t="str">
            <v>06/01/2008</v>
          </cell>
          <cell r="F583" t="str">
            <v>M</v>
          </cell>
          <cell r="G583">
            <v>12</v>
          </cell>
          <cell r="H583" t="str">
            <v>Intellectual Disability (ID)</v>
          </cell>
          <cell r="I583" t="str">
            <v>Y</v>
          </cell>
          <cell r="J583" t="str">
            <v>White</v>
          </cell>
          <cell r="K583" t="str">
            <v>SE - DM - HESPERIA SR</v>
          </cell>
          <cell r="L583" t="str">
            <v>Yes</v>
          </cell>
          <cell r="M583"/>
        </row>
        <row r="584">
          <cell r="D584">
            <v>6632259298</v>
          </cell>
          <cell r="E584" t="str">
            <v>10/04/2024</v>
          </cell>
          <cell r="F584" t="str">
            <v>M</v>
          </cell>
          <cell r="G584">
            <v>16</v>
          </cell>
          <cell r="H584" t="str">
            <v>Hard of Hearing (HH)</v>
          </cell>
          <cell r="I584" t="str">
            <v>Y</v>
          </cell>
          <cell r="J584" t="str">
            <v>White</v>
          </cell>
          <cell r="K584" t="str">
            <v>SE - DM - EARLY START</v>
          </cell>
          <cell r="L584" t="str">
            <v>Yes</v>
          </cell>
          <cell r="M584"/>
        </row>
        <row r="585">
          <cell r="D585">
            <v>5743489285</v>
          </cell>
          <cell r="E585" t="str">
            <v>01/02/2011</v>
          </cell>
          <cell r="F585" t="str">
            <v>M</v>
          </cell>
          <cell r="G585">
            <v>9</v>
          </cell>
          <cell r="H585" t="str">
            <v>Intellectual Disability (ID)</v>
          </cell>
          <cell r="I585" t="str">
            <v>N</v>
          </cell>
          <cell r="J585" t="str">
            <v>White</v>
          </cell>
          <cell r="K585" t="str">
            <v>SE - DM - GRANITE HILL</v>
          </cell>
          <cell r="L585" t="str">
            <v>Yes</v>
          </cell>
          <cell r="M585"/>
        </row>
        <row r="586">
          <cell r="D586">
            <v>2605383009</v>
          </cell>
          <cell r="E586" t="str">
            <v>06/08/2011</v>
          </cell>
          <cell r="F586" t="str">
            <v>F</v>
          </cell>
          <cell r="G586">
            <v>9</v>
          </cell>
          <cell r="H586" t="str">
            <v>Specific Learning Disability (SLD)</v>
          </cell>
          <cell r="I586" t="str">
            <v>Y</v>
          </cell>
          <cell r="J586" t="str">
            <v>Declined to state/Unknown</v>
          </cell>
          <cell r="K586" t="str">
            <v>CS - BARBARA PHELPS CS</v>
          </cell>
          <cell r="L586" t="str">
            <v>Yes</v>
          </cell>
          <cell r="M586"/>
        </row>
        <row r="587">
          <cell r="D587">
            <v>4533115983</v>
          </cell>
          <cell r="E587" t="str">
            <v>11/11/2006</v>
          </cell>
          <cell r="F587" t="str">
            <v>F</v>
          </cell>
          <cell r="G587">
            <v>12</v>
          </cell>
          <cell r="H587" t="str">
            <v>Autism (AUT)</v>
          </cell>
          <cell r="I587" t="str">
            <v>Y</v>
          </cell>
          <cell r="J587" t="str">
            <v>Black or African American</v>
          </cell>
          <cell r="K587" t="str">
            <v>SE - DM - OAK HILLS HS</v>
          </cell>
          <cell r="L587" t="str">
            <v>Yes</v>
          </cell>
          <cell r="M587"/>
        </row>
        <row r="588">
          <cell r="D588">
            <v>9168097105</v>
          </cell>
          <cell r="E588" t="str">
            <v>04/16/2009</v>
          </cell>
          <cell r="F588" t="str">
            <v>M</v>
          </cell>
          <cell r="G588">
            <v>11</v>
          </cell>
          <cell r="H588" t="str">
            <v>Other Health Impairment (OHI)</v>
          </cell>
          <cell r="I588" t="str">
            <v>Y</v>
          </cell>
          <cell r="J588" t="str">
            <v>Other Asian</v>
          </cell>
          <cell r="K588" t="str">
            <v>SE - DM - NEEDLES SR</v>
          </cell>
          <cell r="L588" t="str">
            <v>Yes</v>
          </cell>
          <cell r="M588"/>
        </row>
        <row r="589">
          <cell r="D589">
            <v>6038219081</v>
          </cell>
          <cell r="E589" t="str">
            <v>07/15/2009</v>
          </cell>
          <cell r="F589" t="str">
            <v>M</v>
          </cell>
          <cell r="G589">
            <v>11</v>
          </cell>
          <cell r="H589" t="str">
            <v>Intellectual Disability (ID)</v>
          </cell>
          <cell r="I589" t="str">
            <v>Y</v>
          </cell>
          <cell r="J589" t="str">
            <v>White</v>
          </cell>
          <cell r="K589" t="str">
            <v>SE - DM - SERRANO</v>
          </cell>
          <cell r="L589" t="str">
            <v>Yes</v>
          </cell>
          <cell r="M589"/>
        </row>
        <row r="590">
          <cell r="D590">
            <v>7190061557</v>
          </cell>
          <cell r="E590" t="str">
            <v>05/31/2023</v>
          </cell>
          <cell r="F590" t="str">
            <v>M</v>
          </cell>
          <cell r="G590">
            <v>16</v>
          </cell>
          <cell r="H590" t="str">
            <v>Hard of Hearing (HH)</v>
          </cell>
          <cell r="I590" t="str">
            <v>N</v>
          </cell>
          <cell r="J590" t="str">
            <v>Declined to state/Unknown</v>
          </cell>
          <cell r="K590" t="str">
            <v>SE - DM - EARLY START</v>
          </cell>
          <cell r="L590" t="str">
            <v>Yes</v>
          </cell>
          <cell r="M590"/>
        </row>
        <row r="591">
          <cell r="D591">
            <v>6894629752</v>
          </cell>
          <cell r="E591" t="str">
            <v>10/18/2024</v>
          </cell>
          <cell r="F591" t="str">
            <v>M</v>
          </cell>
          <cell r="G591">
            <v>16</v>
          </cell>
          <cell r="H591" t="str">
            <v>Visual Impairment (VI)</v>
          </cell>
          <cell r="I591" t="str">
            <v>Y</v>
          </cell>
          <cell r="J591" t="str">
            <v>Declined to state/Unknown</v>
          </cell>
          <cell r="K591" t="str">
            <v>SE - DM - EARLY START</v>
          </cell>
          <cell r="L591" t="str">
            <v>Yes</v>
          </cell>
          <cell r="M591"/>
        </row>
        <row r="592">
          <cell r="D592">
            <v>8674344652</v>
          </cell>
          <cell r="E592" t="str">
            <v>09/17/2006</v>
          </cell>
          <cell r="F592" t="str">
            <v>F</v>
          </cell>
          <cell r="G592">
            <v>12</v>
          </cell>
          <cell r="H592" t="str">
            <v>Intellectual Disability (ID)</v>
          </cell>
          <cell r="I592" t="str">
            <v>Y</v>
          </cell>
          <cell r="J592" t="str">
            <v>White</v>
          </cell>
          <cell r="K592" t="str">
            <v>SE - DM - HESPERIA STAR</v>
          </cell>
          <cell r="L592" t="str">
            <v>Yes</v>
          </cell>
          <cell r="M592"/>
        </row>
        <row r="593">
          <cell r="D593">
            <v>2402208742</v>
          </cell>
          <cell r="E593" t="str">
            <v>10/04/2006</v>
          </cell>
          <cell r="F593" t="str">
            <v>M</v>
          </cell>
          <cell r="G593">
            <v>12</v>
          </cell>
          <cell r="H593" t="str">
            <v>Multiple Disability (MD)</v>
          </cell>
          <cell r="I593" t="str">
            <v>N</v>
          </cell>
          <cell r="J593" t="str">
            <v>Filipino</v>
          </cell>
          <cell r="K593" t="str">
            <v>SE - WE - COLONY HS</v>
          </cell>
          <cell r="L593" t="str">
            <v>Yes</v>
          </cell>
          <cell r="M593"/>
        </row>
        <row r="594">
          <cell r="D594">
            <v>9570548182</v>
          </cell>
          <cell r="E594" t="str">
            <v>10/31/2025</v>
          </cell>
          <cell r="F594" t="str">
            <v>M</v>
          </cell>
          <cell r="G594">
            <v>16</v>
          </cell>
          <cell r="H594" t="str">
            <v>Hard of Hearing (HH)</v>
          </cell>
          <cell r="I594" t="str">
            <v>Y</v>
          </cell>
          <cell r="J594" t="str">
            <v>Filipino</v>
          </cell>
          <cell r="K594" t="str">
            <v>SE - DM - EARLY START</v>
          </cell>
          <cell r="L594" t="str">
            <v>Yes</v>
          </cell>
          <cell r="M594"/>
        </row>
        <row r="595">
          <cell r="D595">
            <v>8312249114</v>
          </cell>
          <cell r="E595" t="str">
            <v>01/25/2025</v>
          </cell>
          <cell r="F595" t="str">
            <v>F</v>
          </cell>
          <cell r="G595">
            <v>16</v>
          </cell>
          <cell r="H595" t="str">
            <v>Other Health Impairment (OHI)</v>
          </cell>
          <cell r="I595" t="str">
            <v>Y</v>
          </cell>
          <cell r="J595" t="str">
            <v>Filipino</v>
          </cell>
          <cell r="K595" t="str">
            <v>SE - EV - EARLY START</v>
          </cell>
          <cell r="L595" t="str">
            <v>Yes</v>
          </cell>
          <cell r="M595"/>
        </row>
        <row r="596">
          <cell r="D596">
            <v>6190883234</v>
          </cell>
          <cell r="E596" t="str">
            <v>04/24/2005</v>
          </cell>
          <cell r="F596" t="str">
            <v>M</v>
          </cell>
          <cell r="G596">
            <v>12</v>
          </cell>
          <cell r="H596" t="str">
            <v>Intellectual Disability (ID)</v>
          </cell>
          <cell r="I596" t="str">
            <v>Y</v>
          </cell>
          <cell r="J596" t="str">
            <v>Black or African American</v>
          </cell>
          <cell r="K596" t="str">
            <v>SE - WE - ALTA LOMA HS</v>
          </cell>
          <cell r="L596" t="str">
            <v>Yes</v>
          </cell>
          <cell r="M596"/>
        </row>
        <row r="597">
          <cell r="D597">
            <v>2192468815</v>
          </cell>
          <cell r="E597" t="str">
            <v>07/01/2006</v>
          </cell>
          <cell r="F597" t="str">
            <v>F</v>
          </cell>
          <cell r="G597">
            <v>12</v>
          </cell>
          <cell r="H597" t="str">
            <v>Multiple Disability (MD)</v>
          </cell>
          <cell r="I597" t="str">
            <v>N</v>
          </cell>
          <cell r="J597" t="str">
            <v>Black or African American</v>
          </cell>
          <cell r="K597" t="str">
            <v>SE - DM - VICTOR VALLEY SR</v>
          </cell>
          <cell r="L597" t="str">
            <v>Yes</v>
          </cell>
          <cell r="M597"/>
        </row>
        <row r="598">
          <cell r="D598">
            <v>1299543074</v>
          </cell>
          <cell r="E598" t="str">
            <v>08/21/2025</v>
          </cell>
          <cell r="F598" t="str">
            <v>F</v>
          </cell>
          <cell r="G598">
            <v>16</v>
          </cell>
          <cell r="H598" t="str">
            <v>Hard of Hearing (HH)</v>
          </cell>
          <cell r="I598" t="str">
            <v>Y</v>
          </cell>
          <cell r="J598" t="str">
            <v>White</v>
          </cell>
          <cell r="K598" t="str">
            <v>SE - WE - EARLY START</v>
          </cell>
          <cell r="L598" t="str">
            <v>Yes</v>
          </cell>
          <cell r="M598"/>
        </row>
        <row r="599">
          <cell r="D599">
            <v>7162496177</v>
          </cell>
          <cell r="E599" t="str">
            <v>07/16/2007</v>
          </cell>
          <cell r="F599" t="str">
            <v>M</v>
          </cell>
          <cell r="G599">
            <v>12</v>
          </cell>
          <cell r="H599" t="str">
            <v>Autism (AUT)</v>
          </cell>
          <cell r="I599" t="str">
            <v>Y</v>
          </cell>
          <cell r="J599" t="str">
            <v>White</v>
          </cell>
          <cell r="K599" t="str">
            <v>SE - DM - VICTOR VALLEY SR</v>
          </cell>
          <cell r="L599" t="str">
            <v>Yes</v>
          </cell>
          <cell r="M599"/>
        </row>
        <row r="600">
          <cell r="D600">
            <v>9393054030</v>
          </cell>
          <cell r="E600" t="str">
            <v>11/06/2007</v>
          </cell>
          <cell r="F600" t="str">
            <v>M</v>
          </cell>
          <cell r="G600">
            <v>12</v>
          </cell>
          <cell r="H600" t="str">
            <v>Intellectual Disability (ID)</v>
          </cell>
          <cell r="I600" t="str">
            <v>Y</v>
          </cell>
          <cell r="J600" t="str">
            <v>White</v>
          </cell>
          <cell r="K600" t="str">
            <v>SE - WE - ALTA LOMA HS</v>
          </cell>
          <cell r="L600" t="str">
            <v>Yes</v>
          </cell>
          <cell r="M600"/>
        </row>
        <row r="601">
          <cell r="D601">
            <v>3194385480</v>
          </cell>
          <cell r="E601" t="str">
            <v>11/04/2009</v>
          </cell>
          <cell r="F601" t="str">
            <v>M</v>
          </cell>
          <cell r="G601">
            <v>10</v>
          </cell>
          <cell r="H601" t="str">
            <v>Autism (AUT)</v>
          </cell>
          <cell r="I601" t="str">
            <v>Y</v>
          </cell>
          <cell r="J601" t="str">
            <v>White</v>
          </cell>
          <cell r="K601" t="str">
            <v>SE - DM - GRANITE HILL</v>
          </cell>
          <cell r="L601" t="str">
            <v>Yes</v>
          </cell>
          <cell r="M601"/>
        </row>
        <row r="602">
          <cell r="D602">
            <v>3368282848</v>
          </cell>
          <cell r="E602" t="str">
            <v>09/18/2008</v>
          </cell>
          <cell r="F602" t="str">
            <v>M</v>
          </cell>
          <cell r="G602">
            <v>11</v>
          </cell>
          <cell r="H602" t="str">
            <v>Multiple Disability (MD)</v>
          </cell>
          <cell r="I602" t="str">
            <v>N</v>
          </cell>
          <cell r="J602" t="str">
            <v>White</v>
          </cell>
          <cell r="K602" t="str">
            <v>SE - WE - LOS OSOS HS</v>
          </cell>
          <cell r="L602" t="str">
            <v>Yes</v>
          </cell>
          <cell r="M602"/>
        </row>
        <row r="603">
          <cell r="D603">
            <v>6538230257</v>
          </cell>
          <cell r="E603" t="str">
            <v>01/10/2010</v>
          </cell>
          <cell r="F603" t="str">
            <v>F</v>
          </cell>
          <cell r="G603">
            <v>10</v>
          </cell>
          <cell r="H603" t="str">
            <v>Emotional Disturbance (ED)</v>
          </cell>
          <cell r="I603" t="str">
            <v>Y</v>
          </cell>
          <cell r="J603" t="str">
            <v>Declined to state/Unknown</v>
          </cell>
          <cell r="K603" t="str">
            <v>CS - BARBARA PHELPS CS</v>
          </cell>
          <cell r="L603" t="str">
            <v>Yes</v>
          </cell>
          <cell r="M603"/>
        </row>
        <row r="604">
          <cell r="D604">
            <v>1592979658</v>
          </cell>
          <cell r="E604" t="str">
            <v>08/14/2007</v>
          </cell>
          <cell r="F604" t="str">
            <v>F</v>
          </cell>
          <cell r="G604">
            <v>12</v>
          </cell>
          <cell r="H604" t="str">
            <v>Multiple Disability (MD)</v>
          </cell>
          <cell r="I604" t="str">
            <v>Y</v>
          </cell>
          <cell r="J604" t="str">
            <v>White</v>
          </cell>
          <cell r="K604" t="str">
            <v>SE - WE - COLONY HS</v>
          </cell>
          <cell r="L604" t="str">
            <v>Yes</v>
          </cell>
          <cell r="M604"/>
        </row>
        <row r="605">
          <cell r="D605">
            <v>7172388066</v>
          </cell>
          <cell r="E605" t="str">
            <v>01/09/2004</v>
          </cell>
          <cell r="F605" t="str">
            <v>M</v>
          </cell>
          <cell r="G605">
            <v>12</v>
          </cell>
          <cell r="H605" t="str">
            <v>Multiple Disability (MD)</v>
          </cell>
          <cell r="I605" t="str">
            <v>Y</v>
          </cell>
          <cell r="J605" t="str">
            <v>White</v>
          </cell>
          <cell r="K605" t="str">
            <v>SE - DM - SERRANO</v>
          </cell>
          <cell r="L605" t="str">
            <v>Yes</v>
          </cell>
          <cell r="M605"/>
        </row>
        <row r="606">
          <cell r="D606">
            <v>5334366216</v>
          </cell>
          <cell r="E606" t="str">
            <v>09/19/2025</v>
          </cell>
          <cell r="F606" t="str">
            <v>M</v>
          </cell>
          <cell r="G606">
            <v>16</v>
          </cell>
          <cell r="H606" t="str">
            <v>Hard of Hearing (HH)</v>
          </cell>
          <cell r="I606" t="str">
            <v>Y</v>
          </cell>
          <cell r="J606" t="str">
            <v>White</v>
          </cell>
          <cell r="K606" t="str">
            <v>SE - DM - EARLY START</v>
          </cell>
          <cell r="L606" t="str">
            <v>Yes</v>
          </cell>
          <cell r="M606"/>
        </row>
        <row r="607">
          <cell r="D607">
            <v>7257351611</v>
          </cell>
          <cell r="E607" t="str">
            <v>08/19/2011</v>
          </cell>
          <cell r="F607" t="str">
            <v>F</v>
          </cell>
          <cell r="G607">
            <v>9</v>
          </cell>
          <cell r="H607" t="str">
            <v>Intellectual Disability (ID)</v>
          </cell>
          <cell r="I607" t="str">
            <v>N</v>
          </cell>
          <cell r="J607" t="str">
            <v>White</v>
          </cell>
          <cell r="K607" t="str">
            <v>SE - DM - GRANITE HILL</v>
          </cell>
          <cell r="L607" t="str">
            <v>Yes</v>
          </cell>
          <cell r="M607"/>
        </row>
        <row r="608">
          <cell r="D608">
            <v>1186905273</v>
          </cell>
          <cell r="E608" t="str">
            <v>07/28/2005</v>
          </cell>
          <cell r="F608" t="str">
            <v>M</v>
          </cell>
          <cell r="G608">
            <v>12</v>
          </cell>
          <cell r="H608" t="str">
            <v>Intellectual Disability (ID)</v>
          </cell>
          <cell r="I608" t="str">
            <v>Y</v>
          </cell>
          <cell r="J608" t="str">
            <v>White</v>
          </cell>
          <cell r="K608" t="str">
            <v>SE - WE - UPLAND HS</v>
          </cell>
          <cell r="L608" t="str">
            <v>Yes</v>
          </cell>
          <cell r="M608"/>
        </row>
        <row r="609">
          <cell r="D609">
            <v>6063120090</v>
          </cell>
          <cell r="E609" t="str">
            <v>08/11/2023</v>
          </cell>
          <cell r="F609" t="str">
            <v>M</v>
          </cell>
          <cell r="G609">
            <v>16</v>
          </cell>
          <cell r="H609" t="str">
            <v>Other Health Impairment (OHI)</v>
          </cell>
          <cell r="I609" t="str">
            <v>Y</v>
          </cell>
          <cell r="J609" t="str">
            <v>American Indian or Alaskan Native</v>
          </cell>
          <cell r="K609" t="str">
            <v>SE - EV - EARLY START</v>
          </cell>
          <cell r="L609" t="str">
            <v>Yes</v>
          </cell>
          <cell r="M609"/>
        </row>
        <row r="610">
          <cell r="D610">
            <v>2476861740</v>
          </cell>
          <cell r="E610" t="str">
            <v>09/08/2010</v>
          </cell>
          <cell r="F610" t="str">
            <v>F</v>
          </cell>
          <cell r="G610">
            <v>9</v>
          </cell>
          <cell r="H610" t="str">
            <v>Autism (AUT)</v>
          </cell>
          <cell r="I610" t="str">
            <v>N</v>
          </cell>
          <cell r="J610" t="str">
            <v>Black or African American</v>
          </cell>
          <cell r="K610" t="str">
            <v>SE - DM - VISION ALT LEARNING ACADEMY</v>
          </cell>
          <cell r="L610" t="str">
            <v>Yes</v>
          </cell>
          <cell r="M610"/>
        </row>
        <row r="611">
          <cell r="D611">
            <v>4610291940</v>
          </cell>
          <cell r="E611" t="str">
            <v>06/04/2024</v>
          </cell>
          <cell r="F611" t="str">
            <v>M</v>
          </cell>
          <cell r="G611">
            <v>16</v>
          </cell>
          <cell r="H611" t="str">
            <v>Hard of Hearing (HH)</v>
          </cell>
          <cell r="I611" t="str">
            <v>Y</v>
          </cell>
          <cell r="J611" t="str">
            <v>Declined to state/Unknown</v>
          </cell>
          <cell r="K611" t="str">
            <v>SE - EV - EARLY START</v>
          </cell>
          <cell r="L611" t="str">
            <v>Yes</v>
          </cell>
          <cell r="M611"/>
        </row>
        <row r="612">
          <cell r="D612">
            <v>9797580472</v>
          </cell>
          <cell r="E612" t="str">
            <v>12/12/2004</v>
          </cell>
          <cell r="F612" t="str">
            <v>F</v>
          </cell>
          <cell r="G612">
            <v>12</v>
          </cell>
          <cell r="H612" t="str">
            <v>Intellectual Disability (ID)</v>
          </cell>
          <cell r="I612" t="str">
            <v>N</v>
          </cell>
          <cell r="J612" t="str">
            <v>White</v>
          </cell>
          <cell r="K612" t="str">
            <v>SE - DM - LUCERNE SR</v>
          </cell>
          <cell r="L612" t="str">
            <v>Yes</v>
          </cell>
          <cell r="M612"/>
        </row>
        <row r="613">
          <cell r="D613">
            <v>5910207996</v>
          </cell>
          <cell r="E613" t="str">
            <v>07/08/2009</v>
          </cell>
          <cell r="F613" t="str">
            <v>F</v>
          </cell>
          <cell r="G613">
            <v>11</v>
          </cell>
          <cell r="H613" t="str">
            <v>Traumatic Brain Injury (TBI)</v>
          </cell>
          <cell r="I613" t="str">
            <v>Y</v>
          </cell>
          <cell r="J613" t="str">
            <v>American Indian or Alaskan Native</v>
          </cell>
          <cell r="K613" t="str">
            <v>SE - DM - VICTOR VALLEY SR</v>
          </cell>
          <cell r="L613" t="str">
            <v>Yes</v>
          </cell>
          <cell r="M613"/>
        </row>
        <row r="614">
          <cell r="D614">
            <v>8833847995</v>
          </cell>
          <cell r="E614" t="str">
            <v>04/01/2011</v>
          </cell>
          <cell r="F614" t="str">
            <v>M</v>
          </cell>
          <cell r="G614">
            <v>9</v>
          </cell>
          <cell r="H614" t="str">
            <v>Emotional Disturbance (ED)</v>
          </cell>
          <cell r="I614" t="str">
            <v>N</v>
          </cell>
          <cell r="J614" t="str">
            <v>Black or African American</v>
          </cell>
          <cell r="K614" t="str">
            <v>SE - DM - VISION ALT LEARNING ACADEMY</v>
          </cell>
          <cell r="L614" t="str">
            <v>Yes</v>
          </cell>
          <cell r="M614"/>
        </row>
        <row r="615">
          <cell r="D615">
            <v>1308565337</v>
          </cell>
          <cell r="E615" t="str">
            <v>10/05/2006</v>
          </cell>
          <cell r="F615" t="str">
            <v>M</v>
          </cell>
          <cell r="G615">
            <v>12</v>
          </cell>
          <cell r="H615" t="str">
            <v>Intellectual Disability (ID)</v>
          </cell>
          <cell r="I615" t="str">
            <v>N</v>
          </cell>
          <cell r="J615" t="str">
            <v>Black or African American</v>
          </cell>
          <cell r="K615" t="str">
            <v>SE - DM - HESPERIA STAR</v>
          </cell>
          <cell r="L615" t="str">
            <v>Yes</v>
          </cell>
          <cell r="M615"/>
        </row>
        <row r="616">
          <cell r="D616">
            <v>8655766874</v>
          </cell>
          <cell r="E616" t="str">
            <v>03/29/2010</v>
          </cell>
          <cell r="F616" t="str">
            <v>M</v>
          </cell>
          <cell r="G616">
            <v>9</v>
          </cell>
          <cell r="H616" t="str">
            <v>Specific Learning Disability (SLD)</v>
          </cell>
          <cell r="I616" t="str">
            <v>N</v>
          </cell>
          <cell r="J616" t="str">
            <v>Black or African American</v>
          </cell>
          <cell r="K616" t="str">
            <v>SE - DM - VISION ALT LEARNING ACADEMY</v>
          </cell>
          <cell r="L616" t="str">
            <v>Yes</v>
          </cell>
          <cell r="M616"/>
        </row>
        <row r="617">
          <cell r="D617">
            <v>5358561928</v>
          </cell>
          <cell r="E617" t="str">
            <v>04/19/2010</v>
          </cell>
          <cell r="F617" t="str">
            <v>F</v>
          </cell>
          <cell r="G617">
            <v>11</v>
          </cell>
          <cell r="H617" t="str">
            <v>Intellectual Disability (ID)</v>
          </cell>
          <cell r="I617" t="str">
            <v>N</v>
          </cell>
          <cell r="J617" t="str">
            <v>Black or African American</v>
          </cell>
          <cell r="K617" t="str">
            <v>SE - DM - SULTANA</v>
          </cell>
          <cell r="L617" t="str">
            <v>Yes</v>
          </cell>
          <cell r="M617"/>
        </row>
        <row r="618">
          <cell r="D618">
            <v>2496097282</v>
          </cell>
          <cell r="E618" t="str">
            <v>03/28/2010</v>
          </cell>
          <cell r="F618" t="str">
            <v>M</v>
          </cell>
          <cell r="G618">
            <v>10</v>
          </cell>
          <cell r="H618" t="str">
            <v>Intellectual Disability (ID)</v>
          </cell>
          <cell r="I618" t="str">
            <v>N</v>
          </cell>
          <cell r="J618" t="str">
            <v>Black or African American</v>
          </cell>
          <cell r="K618" t="str">
            <v>SE - WE - RANCHO CUC HS</v>
          </cell>
          <cell r="L618" t="str">
            <v>Yes</v>
          </cell>
          <cell r="M618"/>
        </row>
        <row r="619">
          <cell r="D619">
            <v>7182902698</v>
          </cell>
          <cell r="E619" t="str">
            <v>11/17/2010</v>
          </cell>
          <cell r="F619" t="str">
            <v>M</v>
          </cell>
          <cell r="G619">
            <v>9</v>
          </cell>
          <cell r="H619" t="str">
            <v>Autism (AUT)</v>
          </cell>
          <cell r="I619" t="str">
            <v>N</v>
          </cell>
          <cell r="J619" t="str">
            <v>Other Pacific Islander</v>
          </cell>
          <cell r="K619" t="str">
            <v>SE - DM - NEEDLES SR</v>
          </cell>
          <cell r="L619" t="str">
            <v>Yes</v>
          </cell>
          <cell r="M619"/>
        </row>
        <row r="620">
          <cell r="D620">
            <v>8091170190</v>
          </cell>
          <cell r="E620" t="str">
            <v>07/08/2024</v>
          </cell>
          <cell r="F620" t="str">
            <v>F</v>
          </cell>
          <cell r="G620">
            <v>16</v>
          </cell>
          <cell r="H620" t="str">
            <v>Speech or Language Impairment (SLI)</v>
          </cell>
          <cell r="I620" t="str">
            <v>Y</v>
          </cell>
          <cell r="J620" t="str">
            <v>Declined to state/Unknown</v>
          </cell>
          <cell r="K620" t="str">
            <v>SE - EV - EARLY START</v>
          </cell>
          <cell r="L620" t="str">
            <v>Yes</v>
          </cell>
          <cell r="M620"/>
        </row>
        <row r="621">
          <cell r="D621">
            <v>5188426042</v>
          </cell>
          <cell r="E621" t="str">
            <v>12/30/2005</v>
          </cell>
          <cell r="F621" t="str">
            <v>M</v>
          </cell>
          <cell r="G621">
            <v>12</v>
          </cell>
          <cell r="H621" t="str">
            <v>Multiple Disability (MD)</v>
          </cell>
          <cell r="I621" t="str">
            <v>Y</v>
          </cell>
          <cell r="J621" t="str">
            <v>White</v>
          </cell>
          <cell r="K621" t="str">
            <v>SE - WE - LOS OSOS HS</v>
          </cell>
          <cell r="L621" t="str">
            <v>Yes</v>
          </cell>
          <cell r="M621"/>
        </row>
        <row r="622">
          <cell r="D622">
            <v>6182157598</v>
          </cell>
          <cell r="E622" t="str">
            <v>08/04/2009</v>
          </cell>
          <cell r="F622" t="str">
            <v>M</v>
          </cell>
          <cell r="G622">
            <v>11</v>
          </cell>
          <cell r="H622" t="str">
            <v>Autism (AUT)</v>
          </cell>
          <cell r="I622" t="str">
            <v>Y</v>
          </cell>
          <cell r="J622" t="str">
            <v>White</v>
          </cell>
          <cell r="K622" t="str">
            <v>SE - DM - VICTOR VALLEY SR</v>
          </cell>
          <cell r="L622" t="str">
            <v>Yes</v>
          </cell>
          <cell r="M622"/>
        </row>
        <row r="623">
          <cell r="D623">
            <v>4236099287</v>
          </cell>
          <cell r="E623" t="str">
            <v>08/20/2023</v>
          </cell>
          <cell r="F623" t="str">
            <v>F</v>
          </cell>
          <cell r="G623">
            <v>16</v>
          </cell>
          <cell r="H623" t="str">
            <v>Hard of Hearing (HH)</v>
          </cell>
          <cell r="I623" t="str">
            <v>N</v>
          </cell>
          <cell r="J623" t="str">
            <v>White</v>
          </cell>
          <cell r="K623" t="str">
            <v>SE - DM - EARLY START</v>
          </cell>
          <cell r="L623" t="str">
            <v>Yes</v>
          </cell>
          <cell r="M623"/>
        </row>
        <row r="624">
          <cell r="D624">
            <v>6978170913</v>
          </cell>
          <cell r="E624" t="str">
            <v>06/07/2010</v>
          </cell>
          <cell r="F624" t="str">
            <v>M</v>
          </cell>
          <cell r="G624">
            <v>10</v>
          </cell>
          <cell r="H624" t="str">
            <v>Intellectual Disability (ID)</v>
          </cell>
          <cell r="I624" t="str">
            <v>Y</v>
          </cell>
          <cell r="J624" t="str">
            <v>Declined to state/Unknown</v>
          </cell>
          <cell r="K624" t="str">
            <v>SE - DM - COBALT IMS</v>
          </cell>
          <cell r="L624" t="str">
            <v>Yes</v>
          </cell>
          <cell r="M624"/>
        </row>
        <row r="625">
          <cell r="D625">
            <v>4749876022</v>
          </cell>
          <cell r="E625" t="str">
            <v>06/11/2008</v>
          </cell>
          <cell r="F625" t="str">
            <v>M</v>
          </cell>
          <cell r="G625">
            <v>12</v>
          </cell>
          <cell r="H625" t="str">
            <v>Autism (AUT)</v>
          </cell>
          <cell r="I625" t="str">
            <v>Y</v>
          </cell>
          <cell r="J625" t="str">
            <v>White</v>
          </cell>
          <cell r="K625" t="str">
            <v>SE - WE - ALTA LOMA HS</v>
          </cell>
          <cell r="L625" t="str">
            <v>Yes</v>
          </cell>
          <cell r="M625"/>
        </row>
        <row r="626">
          <cell r="D626">
            <v>2491765727</v>
          </cell>
          <cell r="E626" t="str">
            <v>04/13/2009</v>
          </cell>
          <cell r="F626" t="str">
            <v>M</v>
          </cell>
          <cell r="G626">
            <v>11</v>
          </cell>
          <cell r="H626" t="str">
            <v>Autism (AUT)</v>
          </cell>
          <cell r="I626" t="str">
            <v>N</v>
          </cell>
          <cell r="J626" t="str">
            <v>Black or African American</v>
          </cell>
          <cell r="K626" t="str">
            <v>SE - DM - HESPERIA SR</v>
          </cell>
          <cell r="L626" t="str">
            <v>Yes</v>
          </cell>
          <cell r="M626"/>
        </row>
        <row r="627">
          <cell r="D627">
            <v>2695934823</v>
          </cell>
          <cell r="E627" t="str">
            <v>12/27/2010</v>
          </cell>
          <cell r="F627" t="str">
            <v>M</v>
          </cell>
          <cell r="G627">
            <v>9</v>
          </cell>
          <cell r="H627" t="str">
            <v>Autism (AUT)</v>
          </cell>
          <cell r="I627" t="str">
            <v>N</v>
          </cell>
          <cell r="J627" t="str">
            <v>White</v>
          </cell>
          <cell r="K627" t="str">
            <v>SE - DM - GRANITE HILL</v>
          </cell>
          <cell r="L627" t="str">
            <v>Yes</v>
          </cell>
          <cell r="M627"/>
        </row>
        <row r="628">
          <cell r="D628">
            <v>8662168168</v>
          </cell>
          <cell r="E628" t="str">
            <v>05/24/2025</v>
          </cell>
          <cell r="F628" t="str">
            <v>F</v>
          </cell>
          <cell r="G628">
            <v>16</v>
          </cell>
          <cell r="H628" t="str">
            <v>Orthopedic Impairment (OI)</v>
          </cell>
          <cell r="I628" t="str">
            <v>N</v>
          </cell>
          <cell r="J628" t="str">
            <v>White</v>
          </cell>
          <cell r="K628" t="str">
            <v>SE - WE - EARLY START</v>
          </cell>
          <cell r="L628" t="str">
            <v>Yes</v>
          </cell>
          <cell r="M628"/>
        </row>
        <row r="629">
          <cell r="D629">
            <v>2970697252</v>
          </cell>
          <cell r="E629" t="str">
            <v>03/02/2009</v>
          </cell>
          <cell r="F629" t="str">
            <v>F</v>
          </cell>
          <cell r="G629">
            <v>10</v>
          </cell>
          <cell r="H629" t="str">
            <v>Other Health Impairment (OHI)</v>
          </cell>
          <cell r="I629" t="str">
            <v>N</v>
          </cell>
          <cell r="J629" t="str">
            <v>White</v>
          </cell>
          <cell r="K629" t="str">
            <v>SE - WE - GIBSON HS</v>
          </cell>
          <cell r="L629" t="str">
            <v>Yes</v>
          </cell>
          <cell r="M629"/>
        </row>
        <row r="630">
          <cell r="D630">
            <v>7513929628</v>
          </cell>
          <cell r="E630" t="str">
            <v>01/31/2024</v>
          </cell>
          <cell r="F630" t="str">
            <v>F</v>
          </cell>
          <cell r="G630">
            <v>16</v>
          </cell>
          <cell r="H630" t="str">
            <v>Other Health Impairment (OHI)</v>
          </cell>
          <cell r="I630" t="str">
            <v>N</v>
          </cell>
          <cell r="J630" t="str">
            <v>White</v>
          </cell>
          <cell r="K630" t="str">
            <v>SE - EV - EARLY START</v>
          </cell>
          <cell r="L630" t="str">
            <v>Yes</v>
          </cell>
          <cell r="M630"/>
        </row>
        <row r="631">
          <cell r="D631">
            <v>5135689293</v>
          </cell>
          <cell r="E631" t="str">
            <v>01/31/2024</v>
          </cell>
          <cell r="F631" t="str">
            <v>F</v>
          </cell>
          <cell r="G631">
            <v>16</v>
          </cell>
          <cell r="H631" t="str">
            <v>Other Health Impairment (OHI)</v>
          </cell>
          <cell r="I631" t="str">
            <v>N</v>
          </cell>
          <cell r="J631" t="str">
            <v>White</v>
          </cell>
          <cell r="K631" t="str">
            <v>SE - EV - EARLY START</v>
          </cell>
          <cell r="L631" t="str">
            <v>Yes</v>
          </cell>
          <cell r="M631"/>
        </row>
        <row r="632">
          <cell r="D632">
            <v>8209682357</v>
          </cell>
          <cell r="E632" t="str">
            <v>03/04/2007</v>
          </cell>
          <cell r="F632" t="str">
            <v>M</v>
          </cell>
          <cell r="G632">
            <v>12</v>
          </cell>
          <cell r="H632" t="str">
            <v>Multiple Disability (MD)</v>
          </cell>
          <cell r="I632" t="str">
            <v>N</v>
          </cell>
          <cell r="J632" t="str">
            <v>White</v>
          </cell>
          <cell r="K632" t="str">
            <v>SE - DM - GRANITE HILL</v>
          </cell>
          <cell r="L632" t="str">
            <v>Yes</v>
          </cell>
          <cell r="M632"/>
        </row>
        <row r="633">
          <cell r="D633">
            <v>3159334078</v>
          </cell>
          <cell r="E633" t="str">
            <v>07/01/2010</v>
          </cell>
          <cell r="F633" t="str">
            <v>F</v>
          </cell>
          <cell r="G633">
            <v>10</v>
          </cell>
          <cell r="H633" t="str">
            <v>Intellectual Disability (ID)</v>
          </cell>
          <cell r="I633" t="str">
            <v>Y</v>
          </cell>
          <cell r="J633" t="str">
            <v>Black or African American</v>
          </cell>
          <cell r="K633" t="str">
            <v>SE - DM - SULTANA</v>
          </cell>
          <cell r="L633" t="str">
            <v>Yes</v>
          </cell>
          <cell r="M633"/>
        </row>
        <row r="634">
          <cell r="D634">
            <v>8507517647</v>
          </cell>
          <cell r="E634" t="str">
            <v>12/12/2005</v>
          </cell>
          <cell r="F634" t="str">
            <v>M</v>
          </cell>
          <cell r="G634">
            <v>12</v>
          </cell>
          <cell r="H634" t="str">
            <v>Multiple Disability (MD)</v>
          </cell>
          <cell r="I634" t="str">
            <v>N</v>
          </cell>
          <cell r="J634" t="str">
            <v>White</v>
          </cell>
          <cell r="K634" t="str">
            <v>SE - WE - LOS OSOS HS</v>
          </cell>
          <cell r="L634" t="str">
            <v>Yes</v>
          </cell>
          <cell r="M634"/>
        </row>
        <row r="635">
          <cell r="D635">
            <v>2920916384</v>
          </cell>
          <cell r="E635" t="str">
            <v>06/07/2010</v>
          </cell>
          <cell r="F635" t="str">
            <v>M</v>
          </cell>
          <cell r="G635">
            <v>10</v>
          </cell>
          <cell r="H635" t="str">
            <v>Intellectual Disability (ID)</v>
          </cell>
          <cell r="I635" t="str">
            <v>N</v>
          </cell>
          <cell r="J635" t="str">
            <v>White</v>
          </cell>
          <cell r="K635" t="str">
            <v>SE - DM - OAK HILLS HS</v>
          </cell>
          <cell r="L635" t="str">
            <v>Yes</v>
          </cell>
          <cell r="M635"/>
        </row>
        <row r="636">
          <cell r="D636">
            <v>9770233937</v>
          </cell>
          <cell r="E636" t="str">
            <v>04/15/2007</v>
          </cell>
          <cell r="F636" t="str">
            <v>M</v>
          </cell>
          <cell r="G636">
            <v>12</v>
          </cell>
          <cell r="H636" t="str">
            <v>Multiple Disability (MD)</v>
          </cell>
          <cell r="I636" t="str">
            <v>N</v>
          </cell>
          <cell r="J636" t="str">
            <v>Black or African American</v>
          </cell>
          <cell r="K636" t="str">
            <v>SE - DM - COBALT IMS</v>
          </cell>
          <cell r="L636" t="str">
            <v>Yes</v>
          </cell>
          <cell r="M636"/>
        </row>
        <row r="637">
          <cell r="D637">
            <v>7404643675</v>
          </cell>
          <cell r="E637" t="str">
            <v>06/29/2023</v>
          </cell>
          <cell r="F637" t="str">
            <v>F</v>
          </cell>
          <cell r="G637">
            <v>16</v>
          </cell>
          <cell r="H637" t="str">
            <v>Other Health Impairment (OHI)</v>
          </cell>
          <cell r="I637" t="str">
            <v>N</v>
          </cell>
          <cell r="J637" t="str">
            <v>Black or African American</v>
          </cell>
          <cell r="K637" t="str">
            <v>SE - EV - EARLY START</v>
          </cell>
          <cell r="L637" t="str">
            <v>Yes</v>
          </cell>
          <cell r="M637"/>
        </row>
        <row r="638">
          <cell r="D638">
            <v>7620511094</v>
          </cell>
          <cell r="E638" t="str">
            <v>06/29/2023</v>
          </cell>
          <cell r="F638" t="str">
            <v>F</v>
          </cell>
          <cell r="G638">
            <v>16</v>
          </cell>
          <cell r="H638" t="str">
            <v>Other Health Impairment (OHI)</v>
          </cell>
          <cell r="I638" t="str">
            <v>N</v>
          </cell>
          <cell r="J638" t="str">
            <v>Black or African American</v>
          </cell>
          <cell r="K638" t="str">
            <v>SE - EV - EARLY START</v>
          </cell>
          <cell r="L638" t="str">
            <v>Yes</v>
          </cell>
          <cell r="M638"/>
        </row>
        <row r="639">
          <cell r="D639">
            <v>9068936152</v>
          </cell>
          <cell r="E639" t="str">
            <v>06/29/2023</v>
          </cell>
          <cell r="F639" t="str">
            <v>M</v>
          </cell>
          <cell r="G639">
            <v>16</v>
          </cell>
          <cell r="H639" t="str">
            <v>Other Health Impairment (OHI)</v>
          </cell>
          <cell r="I639" t="str">
            <v>N</v>
          </cell>
          <cell r="J639" t="str">
            <v>Black or African American</v>
          </cell>
          <cell r="K639" t="str">
            <v>SE - EV - EARLY START</v>
          </cell>
          <cell r="L639" t="str">
            <v>Yes</v>
          </cell>
          <cell r="M639"/>
        </row>
        <row r="640">
          <cell r="D640">
            <v>8131206701</v>
          </cell>
          <cell r="E640" t="str">
            <v>09/20/2007</v>
          </cell>
          <cell r="F640" t="str">
            <v>M</v>
          </cell>
          <cell r="G640">
            <v>12</v>
          </cell>
          <cell r="H640" t="str">
            <v>Other Health Impairment (OHI)</v>
          </cell>
          <cell r="I640" t="str">
            <v>Y</v>
          </cell>
          <cell r="J640" t="str">
            <v>Black or African American</v>
          </cell>
          <cell r="K640" t="str">
            <v>SE - WE - GIBSON HS</v>
          </cell>
          <cell r="L640" t="str">
            <v>Yes</v>
          </cell>
          <cell r="M640"/>
        </row>
        <row r="641">
          <cell r="D641">
            <v>3265225817</v>
          </cell>
          <cell r="E641" t="str">
            <v>07/16/2024</v>
          </cell>
          <cell r="F641" t="str">
            <v>M</v>
          </cell>
          <cell r="G641">
            <v>16</v>
          </cell>
          <cell r="H641" t="str">
            <v>Other Health Impairment (OHI)</v>
          </cell>
          <cell r="I641" t="str">
            <v>Y</v>
          </cell>
          <cell r="J641" t="str">
            <v>Declined to state/Unknown</v>
          </cell>
          <cell r="K641" t="str">
            <v>SE - WE - EARLY START</v>
          </cell>
          <cell r="L641" t="str">
            <v>Yes</v>
          </cell>
          <cell r="M641"/>
        </row>
        <row r="642">
          <cell r="D642">
            <v>7234011652</v>
          </cell>
          <cell r="E642" t="str">
            <v>07/04/2005</v>
          </cell>
          <cell r="F642" t="str">
            <v>F</v>
          </cell>
          <cell r="G642">
            <v>12</v>
          </cell>
          <cell r="H642" t="str">
            <v>Intellectual Disability (ID)</v>
          </cell>
          <cell r="I642" t="str">
            <v>N</v>
          </cell>
          <cell r="J642" t="str">
            <v>Black or African American</v>
          </cell>
          <cell r="K642" t="str">
            <v>SE - DM - HESPERIA SR</v>
          </cell>
          <cell r="L642" t="str">
            <v>Yes</v>
          </cell>
          <cell r="M642"/>
        </row>
        <row r="643">
          <cell r="D643">
            <v>7186318806</v>
          </cell>
          <cell r="E643" t="str">
            <v>12/22/2004</v>
          </cell>
          <cell r="F643" t="str">
            <v>M</v>
          </cell>
          <cell r="G643">
            <v>12</v>
          </cell>
          <cell r="H643" t="str">
            <v>Multiple Disability (MD)</v>
          </cell>
          <cell r="I643" t="str">
            <v>Y</v>
          </cell>
          <cell r="J643" t="str">
            <v>White</v>
          </cell>
          <cell r="K643" t="str">
            <v>SE - DM - SULTANA</v>
          </cell>
          <cell r="L643" t="str">
            <v>Yes</v>
          </cell>
          <cell r="M643"/>
        </row>
        <row r="644">
          <cell r="D644">
            <v>7186907316</v>
          </cell>
          <cell r="E644" t="str">
            <v>06/22/2005</v>
          </cell>
          <cell r="F644" t="str">
            <v>M</v>
          </cell>
          <cell r="G644">
            <v>12</v>
          </cell>
          <cell r="H644" t="str">
            <v>Autism (AUT)</v>
          </cell>
          <cell r="I644" t="str">
            <v>Y</v>
          </cell>
          <cell r="J644" t="str">
            <v>American Indian or Alaskan Native</v>
          </cell>
          <cell r="K644" t="str">
            <v>SE - WE - ALTA LOMA HS</v>
          </cell>
          <cell r="L644" t="str">
            <v>Yes</v>
          </cell>
          <cell r="M644"/>
        </row>
        <row r="645">
          <cell r="D645">
            <v>6289367038</v>
          </cell>
          <cell r="E645" t="str">
            <v>04/07/2009</v>
          </cell>
          <cell r="F645" t="str">
            <v>M</v>
          </cell>
          <cell r="G645">
            <v>11</v>
          </cell>
          <cell r="H645" t="str">
            <v>Emotional Disturbance (ED)</v>
          </cell>
          <cell r="I645" t="str">
            <v>N</v>
          </cell>
          <cell r="J645" t="str">
            <v>White</v>
          </cell>
          <cell r="K645" t="str">
            <v>SE - DM - VISION ALT LEARNING ACADEMY</v>
          </cell>
          <cell r="L645" t="str">
            <v>Yes</v>
          </cell>
          <cell r="M645"/>
        </row>
        <row r="646">
          <cell r="D646">
            <v>5740558367</v>
          </cell>
          <cell r="E646" t="str">
            <v>08/12/2011</v>
          </cell>
          <cell r="F646" t="str">
            <v>M</v>
          </cell>
          <cell r="G646">
            <v>9</v>
          </cell>
          <cell r="H646" t="str">
            <v>Autism (AUT)</v>
          </cell>
          <cell r="I646" t="str">
            <v>N</v>
          </cell>
          <cell r="J646" t="str">
            <v>Black or African American</v>
          </cell>
          <cell r="K646" t="str">
            <v>SE - DM - OAK HILLS HS</v>
          </cell>
          <cell r="L646" t="str">
            <v>Yes</v>
          </cell>
          <cell r="M646"/>
        </row>
        <row r="647">
          <cell r="D647">
            <v>9425864035</v>
          </cell>
          <cell r="E647" t="str">
            <v>05/02/2011</v>
          </cell>
          <cell r="F647" t="str">
            <v>M</v>
          </cell>
          <cell r="G647">
            <v>9</v>
          </cell>
          <cell r="H647" t="str">
            <v>Specific Learning Disability (SLD)</v>
          </cell>
          <cell r="I647" t="str">
            <v>N</v>
          </cell>
          <cell r="J647" t="str">
            <v>Black or African American</v>
          </cell>
          <cell r="K647" t="str">
            <v>CS - BARBARA PHELPS CS</v>
          </cell>
          <cell r="L647" t="str">
            <v>Yes</v>
          </cell>
          <cell r="M647"/>
        </row>
        <row r="648">
          <cell r="D648">
            <v>7900635611</v>
          </cell>
          <cell r="E648" t="str">
            <v>04/27/2008</v>
          </cell>
          <cell r="F648" t="str">
            <v>M</v>
          </cell>
          <cell r="G648">
            <v>12</v>
          </cell>
          <cell r="H648" t="str">
            <v>Emotional Disturbance (ED)</v>
          </cell>
          <cell r="I648" t="str">
            <v>N</v>
          </cell>
          <cell r="J648" t="str">
            <v>Black or African American</v>
          </cell>
          <cell r="K648" t="str">
            <v>JCS - EAST VALLEY JUV COURT SCHOOL</v>
          </cell>
          <cell r="L648" t="str">
            <v>Yes</v>
          </cell>
          <cell r="M648"/>
        </row>
        <row r="649">
          <cell r="D649">
            <v>9925172730</v>
          </cell>
          <cell r="E649" t="str">
            <v>08/19/2006</v>
          </cell>
          <cell r="F649" t="str">
            <v>M</v>
          </cell>
          <cell r="G649">
            <v>12</v>
          </cell>
          <cell r="H649" t="str">
            <v>Multiple Disability (MD)</v>
          </cell>
          <cell r="I649" t="str">
            <v>N</v>
          </cell>
          <cell r="J649" t="str">
            <v>Black or African American</v>
          </cell>
          <cell r="K649" t="str">
            <v>SE - DM - COBALT IMS</v>
          </cell>
          <cell r="L649" t="str">
            <v>Yes</v>
          </cell>
          <cell r="M649"/>
        </row>
        <row r="650">
          <cell r="D650">
            <v>8778078641</v>
          </cell>
          <cell r="E650" t="str">
            <v>12/07/2024</v>
          </cell>
          <cell r="F650" t="str">
            <v>M</v>
          </cell>
          <cell r="G650">
            <v>16</v>
          </cell>
          <cell r="H650" t="str">
            <v>Deafness (DEAF)/Hearing Impairment (HI)</v>
          </cell>
          <cell r="I650" t="str">
            <v>N</v>
          </cell>
          <cell r="J650" t="str">
            <v>Declined to state/Unknown</v>
          </cell>
          <cell r="K650" t="str">
            <v>SE - EV - EARLY START</v>
          </cell>
          <cell r="L650" t="str">
            <v>Yes</v>
          </cell>
          <cell r="M650"/>
        </row>
        <row r="651">
          <cell r="D651">
            <v>1188970143</v>
          </cell>
          <cell r="E651" t="str">
            <v>04/28/2005</v>
          </cell>
          <cell r="F651" t="str">
            <v>M</v>
          </cell>
          <cell r="G651">
            <v>12</v>
          </cell>
          <cell r="H651" t="str">
            <v>Intellectual Disability (ID)</v>
          </cell>
          <cell r="I651" t="str">
            <v>Y</v>
          </cell>
          <cell r="J651" t="str">
            <v>White</v>
          </cell>
          <cell r="K651" t="str">
            <v>SE - WE - ALTA LOMA HS</v>
          </cell>
          <cell r="L651" t="str">
            <v>Yes</v>
          </cell>
          <cell r="M651"/>
        </row>
        <row r="652">
          <cell r="D652">
            <v>3368938915</v>
          </cell>
          <cell r="E652" t="str">
            <v>08/07/2009</v>
          </cell>
          <cell r="F652" t="str">
            <v>M</v>
          </cell>
          <cell r="G652">
            <v>11</v>
          </cell>
          <cell r="H652" t="str">
            <v>Specific Learning Disability (SLD)</v>
          </cell>
          <cell r="I652" t="str">
            <v>Y</v>
          </cell>
          <cell r="J652" t="str">
            <v>Declined to state/Unknown</v>
          </cell>
          <cell r="K652" t="str">
            <v>SE - DM - VISION ALT LEARNING ACADEMY</v>
          </cell>
          <cell r="L652" t="str">
            <v>Yes</v>
          </cell>
          <cell r="M652"/>
        </row>
        <row r="653">
          <cell r="D653">
            <v>9157179532</v>
          </cell>
          <cell r="E653" t="str">
            <v>11/28/2008</v>
          </cell>
          <cell r="F653" t="str">
            <v>M</v>
          </cell>
          <cell r="G653">
            <v>12</v>
          </cell>
          <cell r="H653" t="str">
            <v>Intellectual Disability (ID)</v>
          </cell>
          <cell r="I653" t="str">
            <v>Y</v>
          </cell>
          <cell r="J653" t="str">
            <v>American Indian or Alaskan Native</v>
          </cell>
          <cell r="K653" t="str">
            <v>SE - DM - OAK HILLS HS</v>
          </cell>
          <cell r="L653" t="str">
            <v>Yes</v>
          </cell>
          <cell r="M653"/>
        </row>
        <row r="654">
          <cell r="D654">
            <v>8019579306</v>
          </cell>
          <cell r="E654" t="str">
            <v>02/18/2024</v>
          </cell>
          <cell r="F654" t="str">
            <v>M</v>
          </cell>
          <cell r="G654">
            <v>16</v>
          </cell>
          <cell r="H654" t="str">
            <v>Hard of Hearing (HH)</v>
          </cell>
          <cell r="I654" t="str">
            <v>Y</v>
          </cell>
          <cell r="J654" t="str">
            <v>Declined to state/Unknown</v>
          </cell>
          <cell r="K654" t="str">
            <v>SE - WE - EARLY START</v>
          </cell>
          <cell r="L654" t="str">
            <v>Yes</v>
          </cell>
          <cell r="M654"/>
        </row>
        <row r="655">
          <cell r="D655">
            <v>9936552655</v>
          </cell>
          <cell r="E655" t="str">
            <v>01/08/2008</v>
          </cell>
          <cell r="F655" t="str">
            <v>M</v>
          </cell>
          <cell r="G655">
            <v>12</v>
          </cell>
          <cell r="H655" t="str">
            <v>Autism (AUT)</v>
          </cell>
          <cell r="I655" t="str">
            <v>Y</v>
          </cell>
          <cell r="J655" t="str">
            <v>American Indian or Alaskan Native</v>
          </cell>
          <cell r="K655" t="str">
            <v>SE - WE - ALTA LOMA HS</v>
          </cell>
          <cell r="L655" t="str">
            <v>Yes</v>
          </cell>
          <cell r="M655"/>
        </row>
        <row r="656">
          <cell r="D656">
            <v>2186314525</v>
          </cell>
          <cell r="E656" t="str">
            <v>10/08/2004</v>
          </cell>
          <cell r="F656" t="str">
            <v>M</v>
          </cell>
          <cell r="G656">
            <v>12</v>
          </cell>
          <cell r="H656" t="str">
            <v>Autism (AUT)</v>
          </cell>
          <cell r="I656" t="str">
            <v>N</v>
          </cell>
          <cell r="J656" t="str">
            <v>Declined to state/Unknown</v>
          </cell>
          <cell r="K656" t="str">
            <v>SE - DM - HESPERIA STAR</v>
          </cell>
          <cell r="L656" t="str">
            <v>Yes</v>
          </cell>
          <cell r="M656"/>
        </row>
        <row r="657">
          <cell r="D657">
            <v>2166935635</v>
          </cell>
          <cell r="E657" t="str">
            <v>01/13/2007</v>
          </cell>
          <cell r="F657" t="str">
            <v>F</v>
          </cell>
          <cell r="G657">
            <v>12</v>
          </cell>
          <cell r="H657" t="str">
            <v>Intellectual Disability (ID)</v>
          </cell>
          <cell r="I657" t="str">
            <v>Y</v>
          </cell>
          <cell r="J657" t="str">
            <v>White</v>
          </cell>
          <cell r="K657" t="str">
            <v>SE - DM - SERRANO</v>
          </cell>
          <cell r="L657" t="str">
            <v>Yes</v>
          </cell>
          <cell r="M657"/>
        </row>
        <row r="658">
          <cell r="D658">
            <v>7135996094</v>
          </cell>
          <cell r="E658" t="str">
            <v>08/05/2011</v>
          </cell>
          <cell r="F658" t="str">
            <v>M</v>
          </cell>
          <cell r="G658">
            <v>9</v>
          </cell>
          <cell r="H658" t="str">
            <v>Autism (AUT)</v>
          </cell>
          <cell r="I658" t="str">
            <v>N</v>
          </cell>
          <cell r="J658" t="str">
            <v>Asian Indian</v>
          </cell>
          <cell r="K658" t="str">
            <v>SE - WE - ALTA LOMA HS</v>
          </cell>
          <cell r="L658" t="str">
            <v>Yes</v>
          </cell>
          <cell r="M658"/>
        </row>
        <row r="659">
          <cell r="D659">
            <v>2788013597</v>
          </cell>
          <cell r="E659" t="str">
            <v>03/06/2010</v>
          </cell>
          <cell r="F659" t="str">
            <v>M</v>
          </cell>
          <cell r="G659">
            <v>10</v>
          </cell>
          <cell r="H659" t="str">
            <v>Intellectual Disability (ID)</v>
          </cell>
          <cell r="I659" t="str">
            <v>Y</v>
          </cell>
          <cell r="J659" t="str">
            <v>American Indian or Alaskan Native</v>
          </cell>
          <cell r="K659" t="str">
            <v>SE - WE - CHINO HS</v>
          </cell>
          <cell r="L659" t="str">
            <v>Yes</v>
          </cell>
          <cell r="M659"/>
        </row>
        <row r="660">
          <cell r="D660">
            <v>9936603584</v>
          </cell>
          <cell r="E660" t="str">
            <v>11/20/2008</v>
          </cell>
          <cell r="F660" t="str">
            <v>M</v>
          </cell>
          <cell r="G660">
            <v>11</v>
          </cell>
          <cell r="H660" t="str">
            <v>Autism (AUT)</v>
          </cell>
          <cell r="I660" t="str">
            <v>Y</v>
          </cell>
          <cell r="J660" t="str">
            <v>American Indian or Alaskan Native</v>
          </cell>
          <cell r="K660" t="str">
            <v>SE - EV - COLTON HS</v>
          </cell>
          <cell r="L660" t="str">
            <v>Yes</v>
          </cell>
          <cell r="M660"/>
        </row>
        <row r="661">
          <cell r="D661">
            <v>2189393706</v>
          </cell>
          <cell r="E661" t="str">
            <v>05/06/2009</v>
          </cell>
          <cell r="F661" t="str">
            <v>M</v>
          </cell>
          <cell r="G661">
            <v>11</v>
          </cell>
          <cell r="H661" t="str">
            <v>Intellectual Disability (ID)</v>
          </cell>
          <cell r="I661" t="str">
            <v>Y</v>
          </cell>
          <cell r="J661" t="str">
            <v>White</v>
          </cell>
          <cell r="K661" t="str">
            <v>SE - WE - CHINO HS</v>
          </cell>
          <cell r="L661" t="str">
            <v>Yes</v>
          </cell>
          <cell r="M661"/>
        </row>
        <row r="662">
          <cell r="D662">
            <v>4585859572</v>
          </cell>
          <cell r="E662" t="str">
            <v>06/02/2010</v>
          </cell>
          <cell r="F662" t="str">
            <v>M</v>
          </cell>
          <cell r="G662">
            <v>9</v>
          </cell>
          <cell r="H662" t="str">
            <v>Autism (AUT)</v>
          </cell>
          <cell r="I662" t="str">
            <v>Y</v>
          </cell>
          <cell r="J662" t="str">
            <v>White</v>
          </cell>
          <cell r="K662" t="str">
            <v>SE - DM - VICTOR VALLEY SR</v>
          </cell>
          <cell r="L662" t="str">
            <v>Yes</v>
          </cell>
          <cell r="M662"/>
        </row>
        <row r="663">
          <cell r="D663">
            <v>4045488096</v>
          </cell>
          <cell r="E663" t="str">
            <v>11/15/2008</v>
          </cell>
          <cell r="F663" t="str">
            <v>M</v>
          </cell>
          <cell r="G663">
            <v>11</v>
          </cell>
          <cell r="H663" t="str">
            <v>Specific Learning Disability (SLD)</v>
          </cell>
          <cell r="I663" t="str">
            <v>Y</v>
          </cell>
          <cell r="J663" t="str">
            <v>White</v>
          </cell>
          <cell r="K663" t="str">
            <v>JCS - EAST VALLEY JUV COURT SCHOOL</v>
          </cell>
          <cell r="L663" t="str">
            <v>Yes</v>
          </cell>
          <cell r="M663"/>
        </row>
        <row r="664">
          <cell r="D664">
            <v>2429617173</v>
          </cell>
          <cell r="E664" t="str">
            <v>05/07/2008</v>
          </cell>
          <cell r="F664" t="str">
            <v>M</v>
          </cell>
          <cell r="G664">
            <v>12</v>
          </cell>
          <cell r="H664" t="str">
            <v>Autism (AUT)</v>
          </cell>
          <cell r="I664" t="str">
            <v>Y</v>
          </cell>
          <cell r="J664" t="str">
            <v>Declined to state/Unknown</v>
          </cell>
          <cell r="K664" t="str">
            <v>SE - DM - HESPERIA SR</v>
          </cell>
          <cell r="L664" t="str">
            <v>Yes</v>
          </cell>
          <cell r="M664"/>
        </row>
        <row r="665">
          <cell r="D665">
            <v>2310857460</v>
          </cell>
          <cell r="E665" t="str">
            <v>02/04/2009</v>
          </cell>
          <cell r="F665" t="str">
            <v>F</v>
          </cell>
          <cell r="G665">
            <v>11</v>
          </cell>
          <cell r="H665" t="str">
            <v>Emotional Disturbance (ED)</v>
          </cell>
          <cell r="I665" t="str">
            <v>Y</v>
          </cell>
          <cell r="J665" t="str">
            <v>White</v>
          </cell>
          <cell r="K665" t="str">
            <v>SE - WE - GIBSON HS</v>
          </cell>
          <cell r="L665" t="str">
            <v>Yes</v>
          </cell>
          <cell r="M665"/>
        </row>
        <row r="666">
          <cell r="D666">
            <v>8185400177</v>
          </cell>
          <cell r="E666" t="str">
            <v>02/01/2009</v>
          </cell>
          <cell r="F666" t="str">
            <v>M</v>
          </cell>
          <cell r="G666">
            <v>11</v>
          </cell>
          <cell r="H666" t="str">
            <v>Specific Learning Disability (SLD)</v>
          </cell>
          <cell r="I666" t="str">
            <v>Y</v>
          </cell>
          <cell r="J666" t="str">
            <v>American Indian or Alaskan Native</v>
          </cell>
          <cell r="K666" t="str">
            <v>SE - DM - VISION ALT LEARNING ACADEMY</v>
          </cell>
          <cell r="L666" t="str">
            <v>Yes</v>
          </cell>
          <cell r="M666"/>
        </row>
        <row r="667">
          <cell r="D667">
            <v>4737837137</v>
          </cell>
          <cell r="E667" t="str">
            <v>05/17/2011</v>
          </cell>
          <cell r="F667" t="str">
            <v>M</v>
          </cell>
          <cell r="G667">
            <v>9</v>
          </cell>
          <cell r="H667" t="str">
            <v>Autism (AUT)</v>
          </cell>
          <cell r="I667" t="str">
            <v>Y</v>
          </cell>
          <cell r="J667" t="str">
            <v>White</v>
          </cell>
          <cell r="K667" t="str">
            <v>SE - DM - BARSTOW JH</v>
          </cell>
          <cell r="L667" t="str">
            <v>Yes</v>
          </cell>
          <cell r="M667"/>
        </row>
        <row r="668">
          <cell r="D668">
            <v>3930365957</v>
          </cell>
          <cell r="E668" t="str">
            <v>06/04/2009</v>
          </cell>
          <cell r="F668" t="str">
            <v>M</v>
          </cell>
          <cell r="G668">
            <v>11</v>
          </cell>
          <cell r="H668" t="str">
            <v>Other Health Impairment (OHI)</v>
          </cell>
          <cell r="I668" t="str">
            <v>Y</v>
          </cell>
          <cell r="J668" t="str">
            <v>American Indian or Alaskan Native</v>
          </cell>
          <cell r="K668" t="str">
            <v>CS - BOB MURPHY CS</v>
          </cell>
          <cell r="L668" t="str">
            <v>Yes</v>
          </cell>
          <cell r="M668"/>
        </row>
        <row r="669">
          <cell r="D669">
            <v>9433657889</v>
          </cell>
          <cell r="E669" t="str">
            <v>11/04/2008</v>
          </cell>
          <cell r="F669" t="str">
            <v>M</v>
          </cell>
          <cell r="G669">
            <v>11</v>
          </cell>
          <cell r="H669" t="str">
            <v>Specific Learning Disability (SLD)</v>
          </cell>
          <cell r="I669" t="str">
            <v>Y</v>
          </cell>
          <cell r="J669" t="str">
            <v>Declined to state/Unknown</v>
          </cell>
          <cell r="K669" t="str">
            <v>CS - CHAFFEY WEST CS</v>
          </cell>
          <cell r="L669" t="str">
            <v>Yes</v>
          </cell>
          <cell r="M669"/>
        </row>
        <row r="670">
          <cell r="D670">
            <v>2531405518</v>
          </cell>
          <cell r="E670" t="str">
            <v>01/02/2007</v>
          </cell>
          <cell r="F670" t="str">
            <v>M</v>
          </cell>
          <cell r="G670">
            <v>12</v>
          </cell>
          <cell r="H670" t="str">
            <v>Multiple Disability (MD)</v>
          </cell>
          <cell r="I670" t="str">
            <v>Y</v>
          </cell>
          <cell r="J670" t="str">
            <v>White</v>
          </cell>
          <cell r="K670" t="str">
            <v>SE - EV - COLTON HS 2</v>
          </cell>
          <cell r="L670" t="str">
            <v>Yes</v>
          </cell>
          <cell r="M670"/>
        </row>
        <row r="671">
          <cell r="D671">
            <v>5970756486</v>
          </cell>
          <cell r="E671" t="str">
            <v>08/19/2023</v>
          </cell>
          <cell r="F671" t="str">
            <v>M</v>
          </cell>
          <cell r="G671">
            <v>16</v>
          </cell>
          <cell r="H671" t="str">
            <v>Orthopedic Impairment (OI)</v>
          </cell>
          <cell r="I671" t="str">
            <v>Y</v>
          </cell>
          <cell r="J671" t="str">
            <v>White</v>
          </cell>
          <cell r="K671" t="str">
            <v>SE - EV - EARLY START</v>
          </cell>
          <cell r="L671" t="str">
            <v>Yes</v>
          </cell>
          <cell r="M671"/>
        </row>
        <row r="672">
          <cell r="D672">
            <v>6058900282</v>
          </cell>
          <cell r="E672" t="str">
            <v>11/28/2023</v>
          </cell>
          <cell r="F672" t="str">
            <v>M</v>
          </cell>
          <cell r="G672">
            <v>16</v>
          </cell>
          <cell r="H672" t="str">
            <v>Speech or Language Impairment (SLI)</v>
          </cell>
          <cell r="I672" t="str">
            <v>Y</v>
          </cell>
          <cell r="J672" t="str">
            <v>Declined to state/Unknown</v>
          </cell>
          <cell r="K672" t="str">
            <v>SE - WE - EARLY START</v>
          </cell>
          <cell r="L672" t="str">
            <v>Yes</v>
          </cell>
          <cell r="M672"/>
        </row>
        <row r="673">
          <cell r="D673">
            <v>7171433706</v>
          </cell>
          <cell r="E673" t="str">
            <v>08/05/2004</v>
          </cell>
          <cell r="F673" t="str">
            <v>M</v>
          </cell>
          <cell r="G673">
            <v>12</v>
          </cell>
          <cell r="H673" t="str">
            <v>Autism (AUT)</v>
          </cell>
          <cell r="I673" t="str">
            <v>N</v>
          </cell>
          <cell r="J673" t="str">
            <v>White</v>
          </cell>
          <cell r="K673" t="str">
            <v>SE - DM - BARSTOW JH</v>
          </cell>
          <cell r="L673" t="str">
            <v>Yes</v>
          </cell>
          <cell r="M673"/>
        </row>
        <row r="674">
          <cell r="D674">
            <v>7162336528</v>
          </cell>
          <cell r="E674" t="str">
            <v>11/18/2010</v>
          </cell>
          <cell r="F674" t="str">
            <v>M</v>
          </cell>
          <cell r="G674">
            <v>10</v>
          </cell>
          <cell r="H674" t="str">
            <v>Intellectual Disability (ID)</v>
          </cell>
          <cell r="I674" t="str">
            <v>Y</v>
          </cell>
          <cell r="J674" t="str">
            <v>White</v>
          </cell>
          <cell r="K674" t="str">
            <v>SE - DM - COBALT IMS</v>
          </cell>
          <cell r="L674" t="str">
            <v>Yes</v>
          </cell>
          <cell r="M674"/>
        </row>
        <row r="675">
          <cell r="D675">
            <v>4076360076</v>
          </cell>
          <cell r="E675" t="str">
            <v>09/13/2010</v>
          </cell>
          <cell r="F675" t="str">
            <v>F</v>
          </cell>
          <cell r="G675">
            <v>9</v>
          </cell>
          <cell r="H675" t="str">
            <v>Intellectual Disability (ID)</v>
          </cell>
          <cell r="I675" t="str">
            <v>Y</v>
          </cell>
          <cell r="J675" t="str">
            <v>White</v>
          </cell>
          <cell r="K675" t="str">
            <v>SE - DM - SULTANA</v>
          </cell>
          <cell r="L675" t="str">
            <v>Yes</v>
          </cell>
          <cell r="M675"/>
        </row>
        <row r="676">
          <cell r="D676">
            <v>3186321017</v>
          </cell>
          <cell r="E676" t="str">
            <v>02/25/2004</v>
          </cell>
          <cell r="F676" t="str">
            <v>M</v>
          </cell>
          <cell r="G676">
            <v>12</v>
          </cell>
          <cell r="H676" t="str">
            <v>Intellectual Disability (ID)</v>
          </cell>
          <cell r="I676" t="str">
            <v>Y</v>
          </cell>
          <cell r="J676" t="str">
            <v>White</v>
          </cell>
          <cell r="K676" t="str">
            <v>SE - DM - SERRANO</v>
          </cell>
          <cell r="L676" t="str">
            <v>Yes</v>
          </cell>
          <cell r="M676"/>
        </row>
        <row r="677">
          <cell r="D677">
            <v>9137010510</v>
          </cell>
          <cell r="E677" t="str">
            <v>06/05/2011</v>
          </cell>
          <cell r="F677" t="str">
            <v>M</v>
          </cell>
          <cell r="G677">
            <v>9</v>
          </cell>
          <cell r="H677" t="str">
            <v>Autism (AUT)</v>
          </cell>
          <cell r="I677" t="str">
            <v>Y</v>
          </cell>
          <cell r="J677" t="str">
            <v>White</v>
          </cell>
          <cell r="K677" t="str">
            <v>SE - EV - BARBARA PHELPS SP ED</v>
          </cell>
          <cell r="L677" t="str">
            <v>Yes</v>
          </cell>
          <cell r="M677"/>
        </row>
        <row r="678">
          <cell r="D678">
            <v>5928183911</v>
          </cell>
          <cell r="E678" t="str">
            <v>10/06/2008</v>
          </cell>
          <cell r="F678" t="str">
            <v>M</v>
          </cell>
          <cell r="G678">
            <v>11</v>
          </cell>
          <cell r="H678" t="str">
            <v>Autism (AUT)</v>
          </cell>
          <cell r="I678" t="str">
            <v>Y</v>
          </cell>
          <cell r="J678" t="str">
            <v>Declined to state/Unknown</v>
          </cell>
          <cell r="K678" t="str">
            <v>SE - DM - COBALT IMS</v>
          </cell>
          <cell r="L678" t="str">
            <v>Yes</v>
          </cell>
          <cell r="M678"/>
        </row>
        <row r="679">
          <cell r="D679">
            <v>1446399415</v>
          </cell>
          <cell r="E679" t="str">
            <v>07/18/2025</v>
          </cell>
          <cell r="F679" t="str">
            <v>M</v>
          </cell>
          <cell r="G679">
            <v>16</v>
          </cell>
          <cell r="H679" t="str">
            <v>Hard of Hearing (HH)</v>
          </cell>
          <cell r="I679" t="str">
            <v>Y</v>
          </cell>
          <cell r="J679" t="str">
            <v>White</v>
          </cell>
          <cell r="K679" t="str">
            <v>SE - EV - EARLY START</v>
          </cell>
          <cell r="L679" t="str">
            <v>Yes</v>
          </cell>
          <cell r="M679"/>
        </row>
        <row r="680">
          <cell r="D680">
            <v>4227092640</v>
          </cell>
          <cell r="E680" t="str">
            <v>12/20/2008</v>
          </cell>
          <cell r="F680" t="str">
            <v>M</v>
          </cell>
          <cell r="G680">
            <v>11</v>
          </cell>
          <cell r="H680" t="str">
            <v>Autism (AUT)</v>
          </cell>
          <cell r="I680" t="str">
            <v>Y</v>
          </cell>
          <cell r="J680" t="str">
            <v>White</v>
          </cell>
          <cell r="K680" t="str">
            <v>SE - DM - GRANITE HILL</v>
          </cell>
          <cell r="L680" t="str">
            <v>Yes</v>
          </cell>
          <cell r="M680"/>
        </row>
        <row r="681">
          <cell r="D681">
            <v>3155908577</v>
          </cell>
          <cell r="E681" t="str">
            <v>03/30/2004</v>
          </cell>
          <cell r="F681" t="str">
            <v>M</v>
          </cell>
          <cell r="G681">
            <v>12</v>
          </cell>
          <cell r="H681" t="str">
            <v>Intellectual Disability (ID)</v>
          </cell>
          <cell r="I681" t="str">
            <v>Y</v>
          </cell>
          <cell r="J681" t="str">
            <v>Declined to state/Unknown</v>
          </cell>
          <cell r="K681" t="str">
            <v>SE - WE - UPLAND HS</v>
          </cell>
          <cell r="L681" t="str">
            <v>Yes</v>
          </cell>
          <cell r="M681"/>
        </row>
        <row r="682">
          <cell r="D682">
            <v>7503183900</v>
          </cell>
          <cell r="E682" t="str">
            <v>06/08/2008</v>
          </cell>
          <cell r="F682" t="str">
            <v>M</v>
          </cell>
          <cell r="G682">
            <v>11</v>
          </cell>
          <cell r="H682" t="str">
            <v>Multiple Disability (MD)</v>
          </cell>
          <cell r="I682" t="str">
            <v>Y</v>
          </cell>
          <cell r="J682" t="str">
            <v>White</v>
          </cell>
          <cell r="K682" t="str">
            <v>SE - DM - SULTANA</v>
          </cell>
          <cell r="L682" t="str">
            <v>Yes</v>
          </cell>
          <cell r="M682"/>
        </row>
        <row r="683">
          <cell r="D683">
            <v>4548009317</v>
          </cell>
          <cell r="E683" t="str">
            <v>06/21/2008</v>
          </cell>
          <cell r="F683" t="str">
            <v>M</v>
          </cell>
          <cell r="G683">
            <v>11</v>
          </cell>
          <cell r="H683" t="str">
            <v>Other Health Impairment (OHI)</v>
          </cell>
          <cell r="I683" t="str">
            <v>Y</v>
          </cell>
          <cell r="J683" t="str">
            <v>American Indian or Alaskan Native</v>
          </cell>
          <cell r="K683" t="str">
            <v>CS - TRI CITY CS</v>
          </cell>
          <cell r="L683" t="str">
            <v>Yes</v>
          </cell>
          <cell r="M683"/>
        </row>
        <row r="684">
          <cell r="D684">
            <v>5478838266</v>
          </cell>
          <cell r="E684" t="str">
            <v>02/26/2009</v>
          </cell>
          <cell r="F684" t="str">
            <v>M</v>
          </cell>
          <cell r="G684">
            <v>11</v>
          </cell>
          <cell r="H684" t="str">
            <v>Other Health Impairment (OHI)</v>
          </cell>
          <cell r="I684" t="str">
            <v>Y</v>
          </cell>
          <cell r="J684" t="str">
            <v>White</v>
          </cell>
          <cell r="K684" t="str">
            <v>SE - DM - VISION ALT LEARNING ACADEMY</v>
          </cell>
          <cell r="L684" t="str">
            <v>Yes</v>
          </cell>
          <cell r="M684"/>
        </row>
        <row r="685">
          <cell r="D685">
            <v>1645713347</v>
          </cell>
          <cell r="E685" t="str">
            <v>06/03/2011</v>
          </cell>
          <cell r="F685" t="str">
            <v>N</v>
          </cell>
          <cell r="G685">
            <v>9</v>
          </cell>
          <cell r="H685" t="str">
            <v>Specific Learning Disability (SLD)</v>
          </cell>
          <cell r="I685" t="str">
            <v>Y</v>
          </cell>
          <cell r="J685" t="str">
            <v>Black or African American</v>
          </cell>
          <cell r="K685" t="str">
            <v>SE - DM - VISION ALT LEARNING ACADEMY</v>
          </cell>
          <cell r="L685" t="str">
            <v>Yes</v>
          </cell>
          <cell r="M685"/>
        </row>
        <row r="686">
          <cell r="D686">
            <v>5259319964</v>
          </cell>
          <cell r="E686" t="str">
            <v>09/19/2008</v>
          </cell>
          <cell r="F686" t="str">
            <v>F</v>
          </cell>
          <cell r="G686">
            <v>11</v>
          </cell>
          <cell r="H686" t="str">
            <v>Multiple Disability (MD)</v>
          </cell>
          <cell r="I686" t="str">
            <v>Y</v>
          </cell>
          <cell r="J686" t="str">
            <v>Declined to state/Unknown</v>
          </cell>
          <cell r="K686" t="str">
            <v>SE - DM - BARSTOW JH</v>
          </cell>
          <cell r="L686" t="str">
            <v>Yes</v>
          </cell>
          <cell r="M686"/>
        </row>
        <row r="687">
          <cell r="D687">
            <v>8287317448</v>
          </cell>
          <cell r="E687" t="str">
            <v>11/11/2004</v>
          </cell>
          <cell r="F687" t="str">
            <v>M</v>
          </cell>
          <cell r="G687">
            <v>12</v>
          </cell>
          <cell r="H687" t="str">
            <v>Autism (AUT)</v>
          </cell>
          <cell r="I687" t="str">
            <v>Y</v>
          </cell>
          <cell r="J687" t="str">
            <v>White</v>
          </cell>
          <cell r="K687" t="str">
            <v>SE - DM - SERRANO</v>
          </cell>
          <cell r="L687" t="str">
            <v>Yes</v>
          </cell>
          <cell r="M687"/>
        </row>
        <row r="688">
          <cell r="D688">
            <v>8645891657</v>
          </cell>
          <cell r="E688" t="str">
            <v>11/14/2009</v>
          </cell>
          <cell r="F688" t="str">
            <v>M</v>
          </cell>
          <cell r="G688">
            <v>10</v>
          </cell>
          <cell r="H688" t="str">
            <v>Intellectual Disability (ID)</v>
          </cell>
          <cell r="I688" t="str">
            <v>Y</v>
          </cell>
          <cell r="J688" t="str">
            <v>Declined to state/Unknown</v>
          </cell>
          <cell r="K688" t="str">
            <v>SE - WE - COLONY HS</v>
          </cell>
          <cell r="L688" t="str">
            <v>Yes</v>
          </cell>
          <cell r="M688"/>
        </row>
        <row r="689">
          <cell r="D689">
            <v>8307976410</v>
          </cell>
          <cell r="E689" t="str">
            <v>02/07/2010</v>
          </cell>
          <cell r="F689" t="str">
            <v>F</v>
          </cell>
          <cell r="G689">
            <v>10</v>
          </cell>
          <cell r="H689" t="str">
            <v>Intellectual Disability (ID)</v>
          </cell>
          <cell r="I689" t="str">
            <v>Y</v>
          </cell>
          <cell r="J689" t="str">
            <v>American Indian or Alaskan Native</v>
          </cell>
          <cell r="K689" t="str">
            <v>SE - DM - COBALT IMS</v>
          </cell>
          <cell r="L689" t="str">
            <v>Yes</v>
          </cell>
          <cell r="M689"/>
        </row>
        <row r="690">
          <cell r="D690">
            <v>3664491805</v>
          </cell>
          <cell r="E690" t="str">
            <v>12/11/2010</v>
          </cell>
          <cell r="F690" t="str">
            <v>M</v>
          </cell>
          <cell r="G690">
            <v>9</v>
          </cell>
          <cell r="H690" t="str">
            <v>Emotional Disturbance (ED)</v>
          </cell>
          <cell r="I690" t="str">
            <v>Y</v>
          </cell>
          <cell r="J690" t="str">
            <v>Declined to state/Unknown</v>
          </cell>
          <cell r="K690" t="str">
            <v>SE - DM - VISION ALT LEARNING ACADEMY</v>
          </cell>
          <cell r="L690" t="str">
            <v>Yes</v>
          </cell>
          <cell r="M690"/>
        </row>
        <row r="691">
          <cell r="D691">
            <v>9384979522</v>
          </cell>
          <cell r="E691" t="str">
            <v>12/28/2009</v>
          </cell>
          <cell r="F691" t="str">
            <v>M</v>
          </cell>
          <cell r="G691">
            <v>10</v>
          </cell>
          <cell r="H691" t="str">
            <v>Specific Learning Disability (SLD)</v>
          </cell>
          <cell r="I691" t="str">
            <v>Y</v>
          </cell>
          <cell r="J691" t="str">
            <v>White</v>
          </cell>
          <cell r="K691" t="str">
            <v>JCS - EAST VALLEY JUV COURT SCHOOL</v>
          </cell>
          <cell r="L691" t="str">
            <v>Yes</v>
          </cell>
          <cell r="M691"/>
        </row>
        <row r="692">
          <cell r="D692">
            <v>9411001830</v>
          </cell>
          <cell r="E692" t="str">
            <v>03/20/2009</v>
          </cell>
          <cell r="F692" t="str">
            <v>M</v>
          </cell>
          <cell r="G692">
            <v>11</v>
          </cell>
          <cell r="H692" t="str">
            <v>Intellectual Disability (ID)</v>
          </cell>
          <cell r="I692" t="str">
            <v>N</v>
          </cell>
          <cell r="J692" t="str">
            <v>White</v>
          </cell>
          <cell r="K692" t="str">
            <v>SE - DM - HESPERIA SR</v>
          </cell>
          <cell r="L692" t="str">
            <v>Yes</v>
          </cell>
          <cell r="M692"/>
        </row>
        <row r="693">
          <cell r="D693">
            <v>9615458766</v>
          </cell>
          <cell r="E693" t="str">
            <v>05/28/2024</v>
          </cell>
          <cell r="F693" t="str">
            <v>M</v>
          </cell>
          <cell r="G693">
            <v>16</v>
          </cell>
          <cell r="H693" t="str">
            <v>Other Health Impairment (OHI)</v>
          </cell>
          <cell r="I693" t="str">
            <v>Y</v>
          </cell>
          <cell r="J693" t="str">
            <v>Filipino</v>
          </cell>
          <cell r="K693" t="str">
            <v>SE - WE - EARLY START</v>
          </cell>
          <cell r="L693" t="str">
            <v>Yes</v>
          </cell>
          <cell r="M693"/>
        </row>
        <row r="694">
          <cell r="D694">
            <v>9671400191</v>
          </cell>
          <cell r="E694" t="str">
            <v>05/25/2007</v>
          </cell>
          <cell r="F694" t="str">
            <v>M</v>
          </cell>
          <cell r="G694">
            <v>12</v>
          </cell>
          <cell r="H694" t="str">
            <v>Autism (AUT)</v>
          </cell>
          <cell r="I694" t="str">
            <v>Y</v>
          </cell>
          <cell r="J694" t="str">
            <v>White</v>
          </cell>
          <cell r="K694" t="str">
            <v>SE - DM - HESPERIA STAR</v>
          </cell>
          <cell r="L694" t="str">
            <v>Yes</v>
          </cell>
          <cell r="M694"/>
        </row>
        <row r="695">
          <cell r="D695">
            <v>9872882504</v>
          </cell>
          <cell r="E695" t="str">
            <v>09/05/2023</v>
          </cell>
          <cell r="F695" t="str">
            <v>F</v>
          </cell>
          <cell r="G695">
            <v>16</v>
          </cell>
          <cell r="H695" t="str">
            <v>Speech or Language Impairment (SLI)</v>
          </cell>
          <cell r="I695" t="str">
            <v>Y</v>
          </cell>
          <cell r="J695" t="str">
            <v>White</v>
          </cell>
          <cell r="K695" t="str">
            <v>SE - EV - EARLY START</v>
          </cell>
          <cell r="L695" t="str">
            <v>Yes</v>
          </cell>
          <cell r="M695"/>
        </row>
        <row r="696">
          <cell r="D696">
            <v>1471465168</v>
          </cell>
          <cell r="E696" t="str">
            <v>09/05/2023</v>
          </cell>
          <cell r="F696" t="str">
            <v>M</v>
          </cell>
          <cell r="G696">
            <v>16</v>
          </cell>
          <cell r="H696" t="str">
            <v>Speech or Language Impairment (SLI)</v>
          </cell>
          <cell r="I696" t="str">
            <v>Y</v>
          </cell>
          <cell r="J696" t="str">
            <v>White</v>
          </cell>
          <cell r="K696" t="str">
            <v>SE - EV - EARLY START</v>
          </cell>
          <cell r="L696" t="str">
            <v>Yes</v>
          </cell>
          <cell r="M696"/>
        </row>
        <row r="697">
          <cell r="D697">
            <v>2517121315</v>
          </cell>
          <cell r="E697" t="str">
            <v>04/12/2011</v>
          </cell>
          <cell r="F697" t="str">
            <v>M</v>
          </cell>
          <cell r="G697">
            <v>9</v>
          </cell>
          <cell r="H697" t="str">
            <v>Specific Learning Disability (SLD)</v>
          </cell>
          <cell r="I697" t="str">
            <v>Y</v>
          </cell>
          <cell r="J697" t="str">
            <v>American Indian or Alaskan Native</v>
          </cell>
          <cell r="K697" t="str">
            <v>CS - TRI CITY CS</v>
          </cell>
          <cell r="L697" t="str">
            <v>Yes</v>
          </cell>
          <cell r="M697"/>
        </row>
        <row r="698">
          <cell r="D698">
            <v>9240200818</v>
          </cell>
          <cell r="E698" t="str">
            <v>05/12/2008</v>
          </cell>
          <cell r="F698" t="str">
            <v>F</v>
          </cell>
          <cell r="G698">
            <v>11</v>
          </cell>
          <cell r="H698" t="str">
            <v>Specific Learning Disability (SLD)</v>
          </cell>
          <cell r="I698" t="str">
            <v>Y</v>
          </cell>
          <cell r="J698" t="str">
            <v>American Indian or Alaskan Native</v>
          </cell>
          <cell r="K698" t="str">
            <v>CS - TRI CITY CS</v>
          </cell>
          <cell r="L698" t="str">
            <v>Yes</v>
          </cell>
          <cell r="M698"/>
        </row>
        <row r="699">
          <cell r="D699">
            <v>4989472975</v>
          </cell>
          <cell r="E699" t="str">
            <v>09/26/2023</v>
          </cell>
          <cell r="F699" t="str">
            <v>M</v>
          </cell>
          <cell r="G699">
            <v>16</v>
          </cell>
          <cell r="H699" t="str">
            <v>Hard of Hearing (HH)</v>
          </cell>
          <cell r="I699" t="str">
            <v>Y</v>
          </cell>
          <cell r="J699" t="str">
            <v>Filipino</v>
          </cell>
          <cell r="K699" t="str">
            <v>SE - EV - EARLY START</v>
          </cell>
          <cell r="L699" t="str">
            <v>Yes</v>
          </cell>
          <cell r="M699"/>
        </row>
        <row r="700">
          <cell r="D700">
            <v>2573427251</v>
          </cell>
          <cell r="E700" t="str">
            <v>05/20/2010</v>
          </cell>
          <cell r="F700" t="str">
            <v>M</v>
          </cell>
          <cell r="G700">
            <v>10</v>
          </cell>
          <cell r="H700" t="str">
            <v>Autism (AUT)</v>
          </cell>
          <cell r="I700" t="str">
            <v>N</v>
          </cell>
          <cell r="J700" t="str">
            <v>Black or African American</v>
          </cell>
          <cell r="K700" t="str">
            <v>SE - DM - HESPERIA SR</v>
          </cell>
          <cell r="L700" t="str">
            <v>Yes</v>
          </cell>
          <cell r="M700"/>
        </row>
        <row r="701">
          <cell r="D701">
            <v>2201564384</v>
          </cell>
          <cell r="E701" t="str">
            <v>03/03/2011</v>
          </cell>
          <cell r="F701" t="str">
            <v>F</v>
          </cell>
          <cell r="G701">
            <v>9</v>
          </cell>
          <cell r="H701" t="str">
            <v>Autism (AUT)</v>
          </cell>
          <cell r="I701" t="str">
            <v>Y</v>
          </cell>
          <cell r="J701" t="str">
            <v>White</v>
          </cell>
          <cell r="K701" t="str">
            <v>SE - DM - SULTANA</v>
          </cell>
          <cell r="L701" t="str">
            <v>Yes</v>
          </cell>
          <cell r="M701"/>
        </row>
        <row r="702">
          <cell r="D702">
            <v>2531386438</v>
          </cell>
          <cell r="E702" t="str">
            <v>12/14/2007</v>
          </cell>
          <cell r="F702" t="str">
            <v>M</v>
          </cell>
          <cell r="G702">
            <v>12</v>
          </cell>
          <cell r="H702" t="str">
            <v>Autism (AUT)</v>
          </cell>
          <cell r="I702" t="str">
            <v>N</v>
          </cell>
          <cell r="J702" t="str">
            <v>White</v>
          </cell>
          <cell r="K702" t="str">
            <v>SE - HOME HOSPITAL</v>
          </cell>
          <cell r="L702" t="str">
            <v>Yes</v>
          </cell>
          <cell r="M702"/>
        </row>
        <row r="703">
          <cell r="D703">
            <v>5042585441</v>
          </cell>
          <cell r="E703" t="str">
            <v>09/06/2010</v>
          </cell>
          <cell r="F703" t="str">
            <v>M</v>
          </cell>
          <cell r="G703">
            <v>9</v>
          </cell>
          <cell r="H703" t="str">
            <v>Intellectual Disability (ID)</v>
          </cell>
          <cell r="I703" t="str">
            <v>Y</v>
          </cell>
          <cell r="J703" t="str">
            <v>White</v>
          </cell>
          <cell r="K703" t="str">
            <v>SE - DM - GRANITE HILL</v>
          </cell>
          <cell r="L703" t="str">
            <v>Yes</v>
          </cell>
          <cell r="M703"/>
        </row>
        <row r="704">
          <cell r="D704">
            <v>9186137741</v>
          </cell>
          <cell r="E704" t="str">
            <v>11/20/2004</v>
          </cell>
          <cell r="F704" t="str">
            <v>M</v>
          </cell>
          <cell r="G704">
            <v>12</v>
          </cell>
          <cell r="H704" t="str">
            <v>Multiple Disability (MD)</v>
          </cell>
          <cell r="I704" t="str">
            <v>Y</v>
          </cell>
          <cell r="J704" t="str">
            <v>White</v>
          </cell>
          <cell r="K704" t="str">
            <v>SE - EV - COLTON HS</v>
          </cell>
          <cell r="L704" t="str">
            <v>Yes</v>
          </cell>
          <cell r="M704"/>
        </row>
        <row r="705">
          <cell r="D705">
            <v>8604876914</v>
          </cell>
          <cell r="E705" t="str">
            <v>12/15/2023</v>
          </cell>
          <cell r="F705" t="str">
            <v>F</v>
          </cell>
          <cell r="G705">
            <v>16</v>
          </cell>
          <cell r="H705" t="str">
            <v>Intellectual Disability (ID)</v>
          </cell>
          <cell r="I705" t="str">
            <v>N</v>
          </cell>
          <cell r="J705" t="str">
            <v>American Indian or Alaskan Native</v>
          </cell>
          <cell r="K705" t="str">
            <v>SE - EV - EARLY START</v>
          </cell>
          <cell r="L705" t="str">
            <v>Yes</v>
          </cell>
          <cell r="M705"/>
        </row>
        <row r="706">
          <cell r="D706">
            <v>9574589518</v>
          </cell>
          <cell r="E706" t="str">
            <v>05/25/2007</v>
          </cell>
          <cell r="F706" t="str">
            <v>M</v>
          </cell>
          <cell r="G706">
            <v>12</v>
          </cell>
          <cell r="H706" t="str">
            <v>Emotional Disturbance (ED)</v>
          </cell>
          <cell r="I706" t="str">
            <v>N</v>
          </cell>
          <cell r="J706" t="str">
            <v>White</v>
          </cell>
          <cell r="K706" t="str">
            <v>SE - INDEPENDENT STUDY</v>
          </cell>
          <cell r="L706" t="str">
            <v>Yes</v>
          </cell>
          <cell r="M706"/>
        </row>
        <row r="707">
          <cell r="D707">
            <v>1757691720</v>
          </cell>
          <cell r="E707" t="str">
            <v>01/10/2009</v>
          </cell>
          <cell r="F707" t="str">
            <v>M</v>
          </cell>
          <cell r="G707">
            <v>11</v>
          </cell>
          <cell r="H707" t="str">
            <v>Specific Learning Disability (SLD)</v>
          </cell>
          <cell r="I707" t="str">
            <v>N</v>
          </cell>
          <cell r="J707" t="str">
            <v>Black or African American</v>
          </cell>
          <cell r="K707" t="str">
            <v>SE - DM - VISION ALT LEARNING ACADEMY</v>
          </cell>
          <cell r="L707" t="str">
            <v>Yes</v>
          </cell>
          <cell r="M707"/>
        </row>
        <row r="708">
          <cell r="D708">
            <v>7531969803</v>
          </cell>
          <cell r="E708" t="str">
            <v>12/15/2024</v>
          </cell>
          <cell r="F708" t="str">
            <v>F</v>
          </cell>
          <cell r="G708">
            <v>16</v>
          </cell>
          <cell r="H708" t="str">
            <v>Speech or Language Impairment (SLI)</v>
          </cell>
          <cell r="I708" t="str">
            <v>Y</v>
          </cell>
          <cell r="J708" t="str">
            <v>Black or African American</v>
          </cell>
          <cell r="K708" t="str">
            <v>SE - EV - EARLY START</v>
          </cell>
          <cell r="L708" t="str">
            <v>Yes</v>
          </cell>
          <cell r="M708"/>
        </row>
        <row r="709">
          <cell r="D709">
            <v>3404731342</v>
          </cell>
          <cell r="E709" t="str">
            <v>02/22/2010</v>
          </cell>
          <cell r="F709" t="str">
            <v>F</v>
          </cell>
          <cell r="G709">
            <v>10</v>
          </cell>
          <cell r="H709" t="str">
            <v>Multiple Disability (MD)</v>
          </cell>
          <cell r="I709" t="str">
            <v>N</v>
          </cell>
          <cell r="J709" t="str">
            <v>Black or African American</v>
          </cell>
          <cell r="K709" t="str">
            <v>SE - DM - MELVA  DAVIS ACADEMY OF EXCELLENCE</v>
          </cell>
          <cell r="L709" t="str">
            <v>Yes</v>
          </cell>
          <cell r="M709"/>
        </row>
        <row r="710">
          <cell r="D710">
            <v>8678289262</v>
          </cell>
          <cell r="E710" t="str">
            <v>09/01/2009</v>
          </cell>
          <cell r="F710" t="str">
            <v>M</v>
          </cell>
          <cell r="G710">
            <v>11</v>
          </cell>
          <cell r="H710" t="str">
            <v>Other Health Impairment (OHI)</v>
          </cell>
          <cell r="I710" t="str">
            <v>N</v>
          </cell>
          <cell r="J710" t="str">
            <v>Black or African American</v>
          </cell>
          <cell r="K710" t="str">
            <v>CS - VISION CS</v>
          </cell>
          <cell r="L710" t="str">
            <v>Yes</v>
          </cell>
          <cell r="M710"/>
        </row>
        <row r="711">
          <cell r="D711">
            <v>7452952648</v>
          </cell>
          <cell r="E711" t="str">
            <v>06/30/2008</v>
          </cell>
          <cell r="F711" t="str">
            <v>F</v>
          </cell>
          <cell r="G711">
            <v>12</v>
          </cell>
          <cell r="H711" t="str">
            <v>Intellectual Disability (ID)</v>
          </cell>
          <cell r="I711" t="str">
            <v>N</v>
          </cell>
          <cell r="J711" t="str">
            <v>White</v>
          </cell>
          <cell r="K711" t="str">
            <v>SE - DM - LUCERNE SR</v>
          </cell>
          <cell r="L711" t="str">
            <v>Yes</v>
          </cell>
          <cell r="M711"/>
        </row>
        <row r="712">
          <cell r="D712">
            <v>3538258841</v>
          </cell>
          <cell r="E712" t="str">
            <v>01/03/2010</v>
          </cell>
          <cell r="F712" t="str">
            <v>M</v>
          </cell>
          <cell r="G712">
            <v>10</v>
          </cell>
          <cell r="H712" t="str">
            <v>Specific Learning Disability (SLD)</v>
          </cell>
          <cell r="I712" t="str">
            <v>N</v>
          </cell>
          <cell r="J712" t="str">
            <v>White</v>
          </cell>
          <cell r="K712" t="str">
            <v>SE - DM - NEEDLES SR</v>
          </cell>
          <cell r="L712" t="str">
            <v>Yes</v>
          </cell>
          <cell r="M712"/>
        </row>
        <row r="713">
          <cell r="D713">
            <v>3070429648</v>
          </cell>
          <cell r="E713" t="str">
            <v>08/27/2009</v>
          </cell>
          <cell r="F713" t="str">
            <v>F</v>
          </cell>
          <cell r="G713">
            <v>11</v>
          </cell>
          <cell r="H713" t="str">
            <v>Autism (AUT)</v>
          </cell>
          <cell r="I713" t="str">
            <v>Y</v>
          </cell>
          <cell r="J713" t="str">
            <v>Black or African American</v>
          </cell>
          <cell r="K713" t="str">
            <v>SE - DM - VICTOR VALLEY SR</v>
          </cell>
          <cell r="L713" t="str">
            <v>Yes</v>
          </cell>
          <cell r="M713"/>
        </row>
        <row r="714">
          <cell r="D714">
            <v>3464557211</v>
          </cell>
          <cell r="E714" t="str">
            <v>04/17/2011</v>
          </cell>
          <cell r="F714" t="str">
            <v>M</v>
          </cell>
          <cell r="G714">
            <v>9</v>
          </cell>
          <cell r="H714" t="str">
            <v>Autism (AUT)</v>
          </cell>
          <cell r="I714" t="str">
            <v>Y</v>
          </cell>
          <cell r="J714" t="str">
            <v>Black or African American</v>
          </cell>
          <cell r="K714" t="str">
            <v>SE - DM - BARSTOW JH</v>
          </cell>
          <cell r="L714" t="str">
            <v>Yes</v>
          </cell>
          <cell r="M714"/>
        </row>
        <row r="715">
          <cell r="D715">
            <v>3186683717</v>
          </cell>
          <cell r="E715" t="str">
            <v>07/21/2005</v>
          </cell>
          <cell r="F715" t="str">
            <v>M</v>
          </cell>
          <cell r="G715">
            <v>12</v>
          </cell>
          <cell r="H715" t="str">
            <v>Autism (AUT)</v>
          </cell>
          <cell r="I715" t="str">
            <v>N</v>
          </cell>
          <cell r="J715" t="str">
            <v>Black or African American</v>
          </cell>
          <cell r="K715" t="str">
            <v>SE - DM - SERRANO</v>
          </cell>
          <cell r="L715" t="str">
            <v>Yes</v>
          </cell>
          <cell r="M715"/>
        </row>
        <row r="716">
          <cell r="D716">
            <v>6939289135</v>
          </cell>
          <cell r="E716" t="str">
            <v>08/21/2006</v>
          </cell>
          <cell r="F716" t="str">
            <v>M</v>
          </cell>
          <cell r="G716">
            <v>12</v>
          </cell>
          <cell r="H716" t="str">
            <v>Autism (AUT)</v>
          </cell>
          <cell r="I716" t="str">
            <v>N</v>
          </cell>
          <cell r="J716" t="str">
            <v>White</v>
          </cell>
          <cell r="K716" t="str">
            <v>SE - DM - HESPERIA STAR</v>
          </cell>
          <cell r="L716" t="str">
            <v>Yes</v>
          </cell>
          <cell r="M716"/>
        </row>
        <row r="717">
          <cell r="D717">
            <v>5900902244</v>
          </cell>
          <cell r="E717" t="str">
            <v>01/07/2008</v>
          </cell>
          <cell r="F717" t="str">
            <v>M</v>
          </cell>
          <cell r="G717">
            <v>11</v>
          </cell>
          <cell r="H717" t="str">
            <v>Specific Learning Disability (SLD)</v>
          </cell>
          <cell r="I717" t="str">
            <v>N</v>
          </cell>
          <cell r="J717" t="str">
            <v>Black or African American</v>
          </cell>
          <cell r="K717" t="str">
            <v>JCS - EAST VALLEY JUV COURT SCHOOL</v>
          </cell>
          <cell r="L717" t="str">
            <v>Yes</v>
          </cell>
          <cell r="M717"/>
        </row>
        <row r="718">
          <cell r="D718">
            <v>2434829308</v>
          </cell>
          <cell r="E718" t="str">
            <v>06/27/2010</v>
          </cell>
          <cell r="F718" t="str">
            <v>M</v>
          </cell>
          <cell r="G718">
            <v>10</v>
          </cell>
          <cell r="H718" t="str">
            <v>Multiple Disability (MD)</v>
          </cell>
          <cell r="I718" t="str">
            <v>N</v>
          </cell>
          <cell r="J718" t="str">
            <v>White</v>
          </cell>
          <cell r="K718" t="str">
            <v>SE - WE - RANCHO CUC HS</v>
          </cell>
          <cell r="L718" t="str">
            <v>Yes</v>
          </cell>
          <cell r="M718"/>
        </row>
        <row r="719">
          <cell r="D719">
            <v>3411575695</v>
          </cell>
          <cell r="E719" t="str">
            <v>02/06/2008</v>
          </cell>
          <cell r="F719" t="str">
            <v>M</v>
          </cell>
          <cell r="G719">
            <v>12</v>
          </cell>
          <cell r="H719" t="str">
            <v>Intellectual Disability (ID)</v>
          </cell>
          <cell r="I719" t="str">
            <v>N</v>
          </cell>
          <cell r="J719" t="str">
            <v>White</v>
          </cell>
          <cell r="K719" t="str">
            <v>SE - DM - GRANITE HILL</v>
          </cell>
          <cell r="L719" t="str">
            <v>Yes</v>
          </cell>
          <cell r="M719"/>
        </row>
        <row r="720">
          <cell r="D720">
            <v>9474531107</v>
          </cell>
          <cell r="E720" t="str">
            <v>02/09/2009</v>
          </cell>
          <cell r="F720" t="str">
            <v>M</v>
          </cell>
          <cell r="G720">
            <v>11</v>
          </cell>
          <cell r="H720" t="str">
            <v>Autism (AUT)</v>
          </cell>
          <cell r="I720" t="str">
            <v>N</v>
          </cell>
          <cell r="J720" t="str">
            <v>Black or African American</v>
          </cell>
          <cell r="K720" t="str">
            <v>SE - HOME HOSPITAL</v>
          </cell>
          <cell r="L720" t="str">
            <v>Yes</v>
          </cell>
          <cell r="M720"/>
        </row>
        <row r="721">
          <cell r="D721">
            <v>3191956367</v>
          </cell>
          <cell r="E721" t="str">
            <v>11/24/2004</v>
          </cell>
          <cell r="F721" t="str">
            <v>F</v>
          </cell>
          <cell r="G721">
            <v>12</v>
          </cell>
          <cell r="H721" t="str">
            <v>Intellectual Disability (ID)</v>
          </cell>
          <cell r="I721" t="str">
            <v>Y</v>
          </cell>
          <cell r="J721" t="str">
            <v>Declined to state/Unknown</v>
          </cell>
          <cell r="K721" t="str">
            <v>SE - DM - HESPERIA STAR</v>
          </cell>
          <cell r="L721" t="str">
            <v>Yes</v>
          </cell>
          <cell r="M721"/>
        </row>
        <row r="722">
          <cell r="D722">
            <v>3480449275</v>
          </cell>
          <cell r="E722" t="str">
            <v>09/30/2006</v>
          </cell>
          <cell r="F722" t="str">
            <v>F</v>
          </cell>
          <cell r="G722">
            <v>12</v>
          </cell>
          <cell r="H722" t="str">
            <v>Intellectual Disability (ID)</v>
          </cell>
          <cell r="I722" t="str">
            <v>N</v>
          </cell>
          <cell r="J722" t="str">
            <v>Chinese</v>
          </cell>
          <cell r="K722" t="str">
            <v>SE - WE - CHINO HS</v>
          </cell>
          <cell r="L722" t="str">
            <v>Yes</v>
          </cell>
          <cell r="M722"/>
        </row>
        <row r="723">
          <cell r="D723">
            <v>2537399024</v>
          </cell>
          <cell r="E723" t="str">
            <v>05/09/2008</v>
          </cell>
          <cell r="F723" t="str">
            <v>M</v>
          </cell>
          <cell r="G723">
            <v>12</v>
          </cell>
          <cell r="H723" t="str">
            <v>Autism (AUT)</v>
          </cell>
          <cell r="I723" t="str">
            <v>N</v>
          </cell>
          <cell r="J723" t="str">
            <v>Chinese</v>
          </cell>
          <cell r="K723" t="str">
            <v>SE - WE - COLONY HS</v>
          </cell>
          <cell r="L723" t="str">
            <v>Yes</v>
          </cell>
          <cell r="M723"/>
        </row>
        <row r="724">
          <cell r="D724">
            <v>2194172998</v>
          </cell>
          <cell r="E724" t="str">
            <v>06/22/2010</v>
          </cell>
          <cell r="F724" t="str">
            <v>M</v>
          </cell>
          <cell r="G724">
            <v>10</v>
          </cell>
          <cell r="H724" t="str">
            <v>Autism (AUT)</v>
          </cell>
          <cell r="I724" t="str">
            <v>Y</v>
          </cell>
          <cell r="J724" t="str">
            <v>White</v>
          </cell>
          <cell r="K724" t="str">
            <v>SE - WE - LOS OSOS HS</v>
          </cell>
          <cell r="L724" t="str">
            <v>Yes</v>
          </cell>
          <cell r="M724"/>
        </row>
        <row r="725">
          <cell r="D725">
            <v>9787279858</v>
          </cell>
          <cell r="E725" t="str">
            <v>08/29/2010</v>
          </cell>
          <cell r="F725" t="str">
            <v>M</v>
          </cell>
          <cell r="G725">
            <v>10</v>
          </cell>
          <cell r="H725" t="str">
            <v>Autism (AUT)</v>
          </cell>
          <cell r="I725" t="str">
            <v>N</v>
          </cell>
          <cell r="J725" t="str">
            <v>Filipino</v>
          </cell>
          <cell r="K725" t="str">
            <v>SE - DM - LUCERNE SR</v>
          </cell>
          <cell r="L725" t="str">
            <v>Yes</v>
          </cell>
          <cell r="M725"/>
        </row>
        <row r="726">
          <cell r="D726">
            <v>2595324317</v>
          </cell>
          <cell r="E726" t="str">
            <v>04/23/2009</v>
          </cell>
          <cell r="F726" t="str">
            <v>M</v>
          </cell>
          <cell r="G726">
            <v>11</v>
          </cell>
          <cell r="H726" t="str">
            <v>Emotional Disturbance (ED)</v>
          </cell>
          <cell r="I726" t="str">
            <v>N</v>
          </cell>
          <cell r="J726" t="str">
            <v>Black or African American</v>
          </cell>
          <cell r="K726" t="str">
            <v>SE - DM - VISION ALT LEARNING ACADEMY</v>
          </cell>
          <cell r="L726" t="str">
            <v>Yes</v>
          </cell>
          <cell r="M726"/>
        </row>
        <row r="727">
          <cell r="D727">
            <v>3077604775</v>
          </cell>
          <cell r="E727" t="str">
            <v>01/11/2010</v>
          </cell>
          <cell r="F727" t="str">
            <v>F</v>
          </cell>
          <cell r="G727">
            <v>10</v>
          </cell>
          <cell r="H727" t="str">
            <v>Multiple Disability (MD)</v>
          </cell>
          <cell r="I727" t="str">
            <v>Y</v>
          </cell>
          <cell r="J727" t="str">
            <v>White</v>
          </cell>
          <cell r="K727" t="str">
            <v>SE - DM - VICTOR VALLEY SR</v>
          </cell>
          <cell r="L727" t="str">
            <v>Yes</v>
          </cell>
          <cell r="M727"/>
        </row>
        <row r="728">
          <cell r="D728">
            <v>8305776088</v>
          </cell>
          <cell r="E728" t="str">
            <v>12/09/2008</v>
          </cell>
          <cell r="F728" t="str">
            <v>M</v>
          </cell>
          <cell r="G728">
            <v>11</v>
          </cell>
          <cell r="H728" t="str">
            <v>Intellectual Disability (ID)</v>
          </cell>
          <cell r="I728" t="str">
            <v>Y</v>
          </cell>
          <cell r="J728" t="str">
            <v>Declined to state/Unknown</v>
          </cell>
          <cell r="K728" t="str">
            <v>SE - DM - GRANITE HILL</v>
          </cell>
          <cell r="L728" t="str">
            <v>Yes</v>
          </cell>
          <cell r="M728"/>
        </row>
        <row r="729">
          <cell r="D729">
            <v>3394090686</v>
          </cell>
          <cell r="E729" t="str">
            <v>08/08/2009</v>
          </cell>
          <cell r="F729" t="str">
            <v>M</v>
          </cell>
          <cell r="G729">
            <v>11</v>
          </cell>
          <cell r="H729" t="str">
            <v>Multiple Disability (MD)</v>
          </cell>
          <cell r="I729" t="str">
            <v>N</v>
          </cell>
          <cell r="J729" t="str">
            <v>Japanese</v>
          </cell>
          <cell r="K729" t="str">
            <v>SE - WE - LOS OSOS HS</v>
          </cell>
          <cell r="L729" t="str">
            <v>Yes</v>
          </cell>
          <cell r="M729"/>
        </row>
        <row r="730">
          <cell r="D730">
            <v>6260324782</v>
          </cell>
          <cell r="E730" t="str">
            <v>11/10/2007</v>
          </cell>
          <cell r="F730" t="str">
            <v>M</v>
          </cell>
          <cell r="G730">
            <v>12</v>
          </cell>
          <cell r="H730" t="str">
            <v>Autism (AUT)</v>
          </cell>
          <cell r="I730" t="str">
            <v>Y</v>
          </cell>
          <cell r="J730" t="str">
            <v>White</v>
          </cell>
          <cell r="K730" t="str">
            <v>SE - DM - COBALT IMS</v>
          </cell>
          <cell r="L730" t="str">
            <v>Yes</v>
          </cell>
          <cell r="M730"/>
        </row>
        <row r="731">
          <cell r="D731">
            <v>8106625710</v>
          </cell>
          <cell r="E731" t="str">
            <v>05/27/2009</v>
          </cell>
          <cell r="F731" t="str">
            <v>M</v>
          </cell>
          <cell r="G731">
            <v>11</v>
          </cell>
          <cell r="H731" t="str">
            <v>Multiple Disability (MD)</v>
          </cell>
          <cell r="I731" t="str">
            <v>Y</v>
          </cell>
          <cell r="J731" t="str">
            <v>White</v>
          </cell>
          <cell r="K731" t="str">
            <v>SE - DM - COBALT IMS</v>
          </cell>
          <cell r="L731" t="str">
            <v>Yes</v>
          </cell>
          <cell r="M731"/>
        </row>
        <row r="732">
          <cell r="D732">
            <v>9256748714</v>
          </cell>
          <cell r="E732" t="str">
            <v>02/04/2011</v>
          </cell>
          <cell r="F732" t="str">
            <v>M</v>
          </cell>
          <cell r="G732">
            <v>9</v>
          </cell>
          <cell r="H732" t="str">
            <v>Specific Learning Disability (SLD)</v>
          </cell>
          <cell r="I732" t="str">
            <v>Y</v>
          </cell>
          <cell r="J732" t="str">
            <v>White</v>
          </cell>
          <cell r="K732" t="str">
            <v>JCS - EAST VALLEY JUV COURT SCHOOL</v>
          </cell>
          <cell r="L732" t="str">
            <v>Yes</v>
          </cell>
          <cell r="M732"/>
        </row>
        <row r="733">
          <cell r="D733">
            <v>8967153328</v>
          </cell>
          <cell r="E733" t="str">
            <v>11/03/2024</v>
          </cell>
          <cell r="F733" t="str">
            <v>F</v>
          </cell>
          <cell r="G733">
            <v>16</v>
          </cell>
          <cell r="H733" t="str">
            <v>Other Health Impairment (OHI)</v>
          </cell>
          <cell r="I733" t="str">
            <v>Y</v>
          </cell>
          <cell r="J733" t="str">
            <v>White</v>
          </cell>
          <cell r="K733" t="str">
            <v>SE - EV - EARLY START</v>
          </cell>
          <cell r="L733" t="str">
            <v>Yes</v>
          </cell>
          <cell r="M733"/>
        </row>
        <row r="734">
          <cell r="D734">
            <v>5477607595</v>
          </cell>
          <cell r="E734" t="str">
            <v>08/06/2009</v>
          </cell>
          <cell r="F734" t="str">
            <v>F</v>
          </cell>
          <cell r="G734">
            <v>11</v>
          </cell>
          <cell r="H734" t="str">
            <v>Other Health Impairment (OHI)</v>
          </cell>
          <cell r="I734" t="str">
            <v>Y</v>
          </cell>
          <cell r="J734" t="str">
            <v>White</v>
          </cell>
          <cell r="K734" t="str">
            <v>JCS - EAST VALLEY JUV COURT SCHOOL</v>
          </cell>
          <cell r="L734" t="str">
            <v>Yes</v>
          </cell>
          <cell r="M734"/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88B9-87C1-483F-930F-5FA558BD7319}">
  <dimension ref="A1:J2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9.6328125" bestFit="1" customWidth="1"/>
    <col min="2" max="2" width="9.453125" bestFit="1" customWidth="1"/>
    <col min="3" max="3" width="13.90625" bestFit="1" customWidth="1"/>
    <col min="4" max="4" width="10.08984375" bestFit="1" customWidth="1"/>
    <col min="5" max="5" width="6.7265625" bestFit="1" customWidth="1"/>
    <col min="6" max="6" width="5.7265625" bestFit="1" customWidth="1"/>
    <col min="7" max="7" width="27.54296875" bestFit="1" customWidth="1"/>
    <col min="8" max="8" width="5.7265625" bestFit="1" customWidth="1"/>
    <col min="9" max="9" width="28.453125" bestFit="1" customWidth="1"/>
    <col min="10" max="10" width="21.72656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s="2">
        <v>2605383009</v>
      </c>
      <c r="D2" s="3" t="str">
        <f>VLOOKUP(C2,'[1]RAW Aeries Data'!D:M,2,FALSE)</f>
        <v>06/08/2011</v>
      </c>
      <c r="E2" s="3" t="str">
        <f>VLOOKUP(C2,'[1]RAW Aeries Data'!D:M,3,FALSE)</f>
        <v>F</v>
      </c>
      <c r="F2" s="3">
        <f>VLOOKUP(C2,'[1]RAW Aeries Data'!D:M,4,FALSE)</f>
        <v>9</v>
      </c>
      <c r="G2" t="str">
        <f>VLOOKUP(C2,'[1]RAW Aeries Data'!D:M,5,FALSE)</f>
        <v>Specific Learning Disability (SLD)</v>
      </c>
      <c r="H2" s="3" t="str">
        <f>VLOOKUP(C2,'[1]RAW Aeries Data'!D:M,6,FALSE)</f>
        <v>Y</v>
      </c>
      <c r="I2" t="str">
        <f>VLOOKUP(C2,'[1]RAW Aeries Data'!D:M,7,FALSE)</f>
        <v>Declined to state/Unknown</v>
      </c>
      <c r="J2" t="str">
        <f>VLOOKUP(C2,'[1]RAW Aeries Data'!D:M,8,FALSE)</f>
        <v>CS - BARBARA PHELPS CS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2026-04-29T15:42:52Z</dcterms:created>
  <dcterms:modified xsi:type="dcterms:W3CDTF">2026-04-29T15:55:53Z</dcterms:modified>
</cp:coreProperties>
</file>